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nzop\Downloads\"/>
    </mc:Choice>
  </mc:AlternateContent>
  <xr:revisionPtr revIDLastSave="0" documentId="8_{A4C1A06D-E7EE-4E0B-AE83-C72D954697AB}" xr6:coauthVersionLast="47" xr6:coauthVersionMax="47" xr10:uidLastSave="{00000000-0000-0000-0000-000000000000}"/>
  <bookViews>
    <workbookView xWindow="4728" yWindow="5244" windowWidth="17280" windowHeight="8364" firstSheet="5" activeTab="7" xr2:uid="{874F5C93-ED71-42F7-AB54-11000CCE241C}"/>
  </bookViews>
  <sheets>
    <sheet name="01_Risk_Criteria" sheetId="1" r:id="rId1"/>
    <sheet name="02_Risk_Register " sheetId="2" r:id="rId2"/>
    <sheet name="03_Asset_Register" sheetId="3" r:id="rId3"/>
    <sheet name="04_Control_Register" sheetId="4" r:id="rId4"/>
    <sheet name="05_Evidence_Register" sheetId="5" r:id="rId5"/>
    <sheet name="06_Treatment_Plan" sheetId="6" r:id="rId6"/>
    <sheet name="07_Executive_Summary" sheetId="7" r:id="rId7"/>
    <sheet name="08_Assessment_Signoff" sheetId="8" r:id="rId8"/>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4" i="2" l="1" a="1"/>
  <c r="O4" i="2" s="1"/>
  <c r="N5" i="2"/>
  <c r="H5" i="2"/>
  <c r="O3" i="2"/>
  <c r="N4" i="2"/>
  <c r="H4" i="2"/>
  <c r="N3" i="2"/>
  <c r="H3" i="2"/>
  <c r="I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<sst xmlns="http://schemas.openxmlformats.org/spreadsheetml/2006/main" count="490" uniqueCount="370">
  <si>
    <t>CYBER RISK ASSESSMENT - RISK CRITERIA</t>
  </si>
  <si>
    <t>LIKELIHOOD CRITERIA</t>
  </si>
  <si>
    <t>Score</t>
  </si>
  <si>
    <t>Rating</t>
  </si>
  <si>
    <t>Definition</t>
  </si>
  <si>
    <t>Rare</t>
  </si>
  <si>
    <t>Highly unlikely under current conditions</t>
  </si>
  <si>
    <t>Unlikely</t>
  </si>
  <si>
    <t>Possible</t>
  </si>
  <si>
    <t>Likely</t>
  </si>
  <si>
    <t xml:space="preserve">Almost Certain </t>
  </si>
  <si>
    <t>Expected to occur frequently or imminently</t>
  </si>
  <si>
    <t xml:space="preserve">Could occur, but limited exposure or strong controls exist </t>
  </si>
  <si>
    <t xml:space="preserve">Credible scenario with realistic conditions for occurence </t>
  </si>
  <si>
    <t xml:space="preserve">Expected to occur under existing conditions </t>
  </si>
  <si>
    <t xml:space="preserve">IMPACT CRITERIA </t>
  </si>
  <si>
    <t xml:space="preserve">Score </t>
  </si>
  <si>
    <t xml:space="preserve">Rating </t>
  </si>
  <si>
    <t xml:space="preserve">Definition </t>
  </si>
  <si>
    <t>Insignificant</t>
  </si>
  <si>
    <t>Minimal operational or security impact</t>
  </si>
  <si>
    <t>Minor</t>
  </si>
  <si>
    <t xml:space="preserve">Limited impact with minor service or security degradation </t>
  </si>
  <si>
    <t>Moderate</t>
  </si>
  <si>
    <t xml:space="preserve">Noticeable operational, security, or business impact </t>
  </si>
  <si>
    <t xml:space="preserve">Major </t>
  </si>
  <si>
    <t xml:space="preserve">Significant disruption, data exposure, or security impact </t>
  </si>
  <si>
    <t xml:space="preserve">Severe </t>
  </si>
  <si>
    <t xml:space="preserve"> Critical operational disruption, major data exposure, or severe business impact </t>
  </si>
  <si>
    <t xml:space="preserve">RISK RATING CRITERIA </t>
  </si>
  <si>
    <t xml:space="preserve">Score Range </t>
  </si>
  <si>
    <t>Risk Level</t>
  </si>
  <si>
    <t xml:space="preserve">Low </t>
  </si>
  <si>
    <t xml:space="preserve">Acceptable risk; monitor through routine  controls </t>
  </si>
  <si>
    <t xml:space="preserve">Medium </t>
  </si>
  <si>
    <t xml:space="preserve">Risk requires monitoring and appropriate mitigation </t>
  </si>
  <si>
    <t>High</t>
  </si>
  <si>
    <t xml:space="preserve">Significant risk requiring prioritized remediation </t>
  </si>
  <si>
    <t xml:space="preserve">Critical </t>
  </si>
  <si>
    <t xml:space="preserve">Unacceptable risk requiring immediate management attention </t>
  </si>
  <si>
    <t>1 -- 4</t>
  </si>
  <si>
    <t>5 -- 9</t>
  </si>
  <si>
    <t>10 -- 16</t>
  </si>
  <si>
    <t>17 -- 25</t>
  </si>
  <si>
    <t>RISK MATRIX  - LIKELIHOOD X IMPACT</t>
  </si>
  <si>
    <t xml:space="preserve"> Likelihood ↓ / Impact  →</t>
  </si>
  <si>
    <t xml:space="preserve">1 Insignificant </t>
  </si>
  <si>
    <t xml:space="preserve">2 Minor </t>
  </si>
  <si>
    <t xml:space="preserve">3 Moderate </t>
  </si>
  <si>
    <t xml:space="preserve">4 Major </t>
  </si>
  <si>
    <t xml:space="preserve">5 Severe </t>
  </si>
  <si>
    <t xml:space="preserve">Almost Certain (5) </t>
  </si>
  <si>
    <t>Likely (4)</t>
  </si>
  <si>
    <t>Possible (3)</t>
  </si>
  <si>
    <t>Unlikely (2)</t>
  </si>
  <si>
    <t>Rare (1)</t>
  </si>
  <si>
    <t xml:space="preserve">Risk ID </t>
  </si>
  <si>
    <t>Asset</t>
  </si>
  <si>
    <t xml:space="preserve">Existing Controls </t>
  </si>
  <si>
    <t xml:space="preserve">Inherent Risk Score </t>
  </si>
  <si>
    <t xml:space="preserve">Risk Treatment </t>
  </si>
  <si>
    <t xml:space="preserve">Risk Owner </t>
  </si>
  <si>
    <t xml:space="preserve">Status </t>
  </si>
  <si>
    <t xml:space="preserve">Threat </t>
  </si>
  <si>
    <t>Vulnerability/ Condition</t>
  </si>
  <si>
    <t xml:space="preserve">Likelihood </t>
  </si>
  <si>
    <t xml:space="preserve">Impact </t>
  </si>
  <si>
    <t xml:space="preserve">Inherent Risk Level  </t>
  </si>
  <si>
    <t xml:space="preserve">Recommended Controls </t>
  </si>
  <si>
    <t>RISK-001</t>
  </si>
  <si>
    <t xml:space="preserve">Check Point Security Gateway </t>
  </si>
  <si>
    <t xml:space="preserve">Exploitation of vulnerabilities not covered by outdated IPS protections </t>
  </si>
  <si>
    <t>IPS protection database could not be updated due to lack of Internet connectivity from the Security Gateway</t>
  </si>
  <si>
    <t xml:space="preserve">IPS enabled; LAB-IPS-Detect profile active; Global Detect enabled; security policy deployed </t>
  </si>
  <si>
    <t xml:space="preserve">Mitigate </t>
  </si>
  <si>
    <t xml:space="preserve">Restore controlled Internet connectivity for IPS updates; update the IPS protection database; establish periodic update verification and monitoring </t>
  </si>
  <si>
    <t>Network Security Team</t>
  </si>
  <si>
    <t>Open</t>
  </si>
  <si>
    <t xml:space="preserve"> Target Residual Impact </t>
  </si>
  <si>
    <t xml:space="preserve">Target Residual Likehood </t>
  </si>
  <si>
    <t xml:space="preserve">Target Residual Risk Score </t>
  </si>
  <si>
    <t xml:space="preserve">Target Residual Risk Level </t>
  </si>
  <si>
    <t>Low</t>
  </si>
  <si>
    <t>Medium</t>
  </si>
  <si>
    <t>RISK-002</t>
  </si>
  <si>
    <t>LAB-LAN Test Endpoint</t>
  </si>
  <si>
    <t xml:space="preserve">SQL Injection attack against na HTTP-accessible application or service </t>
  </si>
  <si>
    <t xml:space="preserve">SQL Injection protection was configured as Drop + Log, but effective blocking could not be conclusively validated during testing </t>
  </si>
  <si>
    <t>IPS enabled; LAB-IPS-Detect profile active; SQL Injection protection configured as Drop + Log; security policy deployed</t>
  </si>
  <si>
    <t>Perform controlled SQL Injection testing; verify IPS Drop + Log enforcement; validate security logs and document blocking evidence.</t>
  </si>
  <si>
    <t xml:space="preserve">Assessment Rationale </t>
  </si>
  <si>
    <t>IPS protection updates were unavailable due to the gateway connectivity limitation. Exploitation is considered possible because outdated protections may reduce coverage against newer threats, while successful exploitation could cause significant security or operational impact</t>
  </si>
  <si>
    <t>SQL injection protection was configured as Drop + Log, but effective blocking was not conclusively demonstrated. The attack scenario remains credible until control effectiveness is validated, with potentially significant impact if explloitation succeeds</t>
  </si>
  <si>
    <t>RISK-003</t>
  </si>
  <si>
    <t>LAB-LAN/ Windows 10 Endpoint</t>
  </si>
  <si>
    <t>Unauthorized network communication from a compromised endpoint</t>
  </si>
  <si>
    <t xml:space="preserve">Broad firewall access may permit more network communication than required by least-privilege principles </t>
  </si>
  <si>
    <t xml:space="preserve">Check Point Acess Control policy; security logging; IPS  and threat Prevention enabled </t>
  </si>
  <si>
    <t>Broad network access was intentionally permitted for laboratory testing. No endpoint compromise was observed, and preventive controls including IPS and Threat Prevention were enabled. However, equivalent broad access in a production environment could increase exposure to unauthorized network communication. Impact is rated Moderate because no critical data or production systems were demonstrated within the assessed LAB-LAN.</t>
  </si>
  <si>
    <t>Review firewall rules using least-privillege principles; restrict unnecessary destinations and services; document business justification for broad access; perform periodic firewall rule reviews.</t>
  </si>
  <si>
    <t>]</t>
  </si>
  <si>
    <t xml:space="preserve">CYBER RISK ASSESSMENT - RISK REGISTER </t>
  </si>
  <si>
    <r>
      <rPr>
        <b/>
        <sz val="14"/>
        <color theme="0"/>
        <rFont val="Aptos Narrow"/>
        <family val="2"/>
        <scheme val="minor"/>
      </rPr>
      <t>CYBER RIKS ASSESSMENT  - ASSET REGISTER</t>
    </r>
    <r>
      <rPr>
        <b/>
        <sz val="11"/>
        <color theme="0"/>
        <rFont val="Aptos Narrow"/>
        <family val="2"/>
        <scheme val="minor"/>
      </rPr>
      <t xml:space="preserve"> </t>
    </r>
  </si>
  <si>
    <t>Asset ID</t>
  </si>
  <si>
    <t xml:space="preserve">Asset Name </t>
  </si>
  <si>
    <t>Asset Type</t>
  </si>
  <si>
    <t xml:space="preserve">Business / Security Function </t>
  </si>
  <si>
    <t>Environment</t>
  </si>
  <si>
    <t>Confidentiality</t>
  </si>
  <si>
    <t>Integrity</t>
  </si>
  <si>
    <t>Availability</t>
  </si>
  <si>
    <t>Overall Criticality</t>
  </si>
  <si>
    <t xml:space="preserve">Asset Owner </t>
  </si>
  <si>
    <t xml:space="preserve">Evidence Source </t>
  </si>
  <si>
    <t xml:space="preserve">Notes </t>
  </si>
  <si>
    <t>AST -001</t>
  </si>
  <si>
    <t>Check Point Gaia R82 Security Gateway</t>
  </si>
  <si>
    <t xml:space="preserve">Security Infrastructure </t>
  </si>
  <si>
    <t>Network access control, traffic enforcement, IPS and Threat Prevention</t>
  </si>
  <si>
    <t>VirtualBox Security Lab</t>
  </si>
  <si>
    <t>Network Security  Team</t>
  </si>
  <si>
    <t xml:space="preserve">Check Point R82 Lab - Technical Evidence </t>
  </si>
  <si>
    <t xml:space="preserve">Primary security enforcement point used in the technical assessment </t>
  </si>
  <si>
    <t>AST-002</t>
  </si>
  <si>
    <t>Windows 10 Test Endpoint</t>
  </si>
  <si>
    <t>Endpoint</t>
  </si>
  <si>
    <t>Traffic generation and security control validation</t>
  </si>
  <si>
    <t xml:space="preserve">LAB-LAN </t>
  </si>
  <si>
    <t>IT / Security Team</t>
  </si>
  <si>
    <t>Laboratory endpoint; no production or critical business data demonstrated</t>
  </si>
  <si>
    <t>AST-003</t>
  </si>
  <si>
    <t>LAB-LAN</t>
  </si>
  <si>
    <t xml:space="preserve">Network Segment </t>
  </si>
  <si>
    <t>Isolated network for security testing and traffic validation</t>
  </si>
  <si>
    <t>Lab Topology / Firewall Policy</t>
  </si>
  <si>
    <t>Isolated laboratory network using 192.168.100.0/24</t>
  </si>
  <si>
    <t>AST-004</t>
  </si>
  <si>
    <t>Check Point Mangement Enviroment</t>
  </si>
  <si>
    <t>Security Management</t>
  </si>
  <si>
    <t xml:space="preserve">Security policy administration and gateway management  </t>
  </si>
  <si>
    <t>Management Network</t>
  </si>
  <si>
    <t>Security Administration Team</t>
  </si>
  <si>
    <t xml:space="preserve">SmartConsole /Lab Architecture </t>
  </si>
  <si>
    <t>Represents the management plane used for security policy administration</t>
  </si>
  <si>
    <t xml:space="preserve">AST-005 </t>
  </si>
  <si>
    <t>IPS Protection Database</t>
  </si>
  <si>
    <t xml:space="preserve">Security Data / Protection Content </t>
  </si>
  <si>
    <t xml:space="preserve">Provides current IPS protection signatures and security content </t>
  </si>
  <si>
    <t>Check Point Threat Prevention</t>
  </si>
  <si>
    <t xml:space="preserve">High </t>
  </si>
  <si>
    <t>IPS  Update Validation</t>
  </si>
  <si>
    <t>Update failure was identified during technical validation</t>
  </si>
  <si>
    <t>AST -006</t>
  </si>
  <si>
    <t>Check Point Security Policy</t>
  </si>
  <si>
    <t>Security Configuration</t>
  </si>
  <si>
    <t xml:space="preserve">Defines Access Control and Threat Prevention enforcement </t>
  </si>
  <si>
    <t>Check Point R82 Lab</t>
  </si>
  <si>
    <t xml:space="preserve">SmartConsole/ Policy Installation Evidence </t>
  </si>
  <si>
    <t>Includes Access Control and Threat Prevention configuration validated during the lab</t>
  </si>
  <si>
    <t xml:space="preserve">CYBER RISK ASSESSMENT - CONTROL REGISTER </t>
  </si>
  <si>
    <t xml:space="preserve">Control Name </t>
  </si>
  <si>
    <t>Related Asset(s)</t>
  </si>
  <si>
    <t xml:space="preserve">Implementation Status </t>
  </si>
  <si>
    <t xml:space="preserve">Control Effectiveness </t>
  </si>
  <si>
    <t xml:space="preserve">Evidence ID </t>
  </si>
  <si>
    <t>Control ID</t>
  </si>
  <si>
    <t xml:space="preserve">Control Domain </t>
  </si>
  <si>
    <t>Control Objective</t>
  </si>
  <si>
    <t>Evidence Description</t>
  </si>
  <si>
    <t xml:space="preserve">Finding </t>
  </si>
  <si>
    <t>Related Risk</t>
  </si>
  <si>
    <t xml:space="preserve">Control Owner </t>
  </si>
  <si>
    <t xml:space="preserve">Assessment Notes </t>
  </si>
  <si>
    <t>CTRL-001</t>
  </si>
  <si>
    <t>Firewall Acess Control Policy</t>
  </si>
  <si>
    <t>Network Security</t>
  </si>
  <si>
    <t>Restrict network communications according to authorized security policy</t>
  </si>
  <si>
    <t>AST-001;AST-002; AST-003; AST-006</t>
  </si>
  <si>
    <t xml:space="preserve">Implemented </t>
  </si>
  <si>
    <t>Partially Effective</t>
  </si>
  <si>
    <t>EV-001</t>
  </si>
  <si>
    <t xml:space="preserve">SmartConsole Access Control policy and successful policy installation evidence </t>
  </si>
  <si>
    <t xml:space="preserve">Broad network access was intentionally permitted for laboratory testing and would require least-privilege review in a production environment  </t>
  </si>
  <si>
    <t>Control implementation was observed; production-equivalent rule design would require tighter destination and service restrictions</t>
  </si>
  <si>
    <t>CTRL-002</t>
  </si>
  <si>
    <t>Intrusion Prevention System (IPS)</t>
  </si>
  <si>
    <t>Threat Prevention</t>
  </si>
  <si>
    <t>Detect and prevent network-based exploitation attempts</t>
  </si>
  <si>
    <t>AST-001; AST-005; AST-006</t>
  </si>
  <si>
    <t>EV-002; EV-003</t>
  </si>
  <si>
    <t>IPS enabled and active; protection database update validation identified an update failure.</t>
  </si>
  <si>
    <t>IPS protection database could not be updated.</t>
  </si>
  <si>
    <t>IPS functionality was enabled, but protection currency could not be fully maintained under the observed connectivity condition.</t>
  </si>
  <si>
    <t>CTRL-003</t>
  </si>
  <si>
    <t>SQL Injection IPS Protection</t>
  </si>
  <si>
    <t>Application / Threat Prevention</t>
  </si>
  <si>
    <t xml:space="preserve">Detect and block SQL Injection attack patterns in inspected HTTP traffic </t>
  </si>
  <si>
    <t>AST-001; AST-002; AST-006</t>
  </si>
  <si>
    <t xml:space="preserve">Not Conclusively Validated </t>
  </si>
  <si>
    <t>EV-004</t>
  </si>
  <si>
    <t xml:space="preserve">SQL Injection protection configured as Drop + Log </t>
  </si>
  <si>
    <t>Effective blocking could not be conclusively demonstrated during controlled testing.</t>
  </si>
  <si>
    <t>Configuration evidence exists, but additional testing is required to establish operating effectiveness.</t>
  </si>
  <si>
    <t>CTRL-004</t>
  </si>
  <si>
    <t xml:space="preserve">Security Event Logging </t>
  </si>
  <si>
    <t xml:space="preserve">Security Monitoring </t>
  </si>
  <si>
    <t>Generate security logs to support monitoring, investigation, and control validation.</t>
  </si>
  <si>
    <t>AST-001; AST-004; AST-006</t>
  </si>
  <si>
    <t>Effective</t>
  </si>
  <si>
    <t>EV-005</t>
  </si>
  <si>
    <t>Logging was enabled within the assessed security policies and used during technical validation.</t>
  </si>
  <si>
    <t>No material deficiency identified within the limited laboratory scope.</t>
  </si>
  <si>
    <t>N/A</t>
  </si>
  <si>
    <t>Logging capability was observed within the laboratory scope; this assessment does not represent a full SIEM or SOC monitoring review.</t>
  </si>
  <si>
    <t>CTRL-005</t>
  </si>
  <si>
    <t>Threat Prevention Policy</t>
  </si>
  <si>
    <t>Apply configured threat prevention protections to relevant network traffic.</t>
  </si>
  <si>
    <t>EV-006</t>
  </si>
  <si>
    <t>Threat Prevention profile was active and policy was successfully deployed.</t>
  </si>
  <si>
    <t>Effectiveness is constrained by the IPS update finding and incomplete SQL Injection blocking validation.</t>
  </si>
  <si>
    <t>RISK-001; RISK-002</t>
  </si>
  <si>
    <t>Policy deployment was validated, while specific operating-effectiveness limitations remain documented separately.</t>
  </si>
  <si>
    <t>CYBER RISK ASSESSMENT - EVIDENCE REGISTER</t>
  </si>
  <si>
    <t>Evidence ID</t>
  </si>
  <si>
    <t xml:space="preserve">Evidence Name </t>
  </si>
  <si>
    <t>Evidence Type</t>
  </si>
  <si>
    <t>Source</t>
  </si>
  <si>
    <t>Related Control(s)</t>
  </si>
  <si>
    <t>Observation</t>
  </si>
  <si>
    <t>Assessment  Result</t>
  </si>
  <si>
    <t>Evidence Status</t>
  </si>
  <si>
    <t>Repository Reference</t>
  </si>
  <si>
    <t>Notes</t>
  </si>
  <si>
    <t>Access Control Policy Configuration</t>
  </si>
  <si>
    <t>Screenshot / Configuration</t>
  </si>
  <si>
    <t>Check Point SmartConsole</t>
  </si>
  <si>
    <t>AST-001; AST-003; AST-006</t>
  </si>
  <si>
    <t>Access Control policy was configured and successfully installed on the Security Gateway</t>
  </si>
  <si>
    <t>Control Implemented</t>
  </si>
  <si>
    <t>Validated</t>
  </si>
  <si>
    <t xml:space="preserve">Check Point Lab Repository -  Access Control evidence </t>
  </si>
  <si>
    <t>Broad access was intentionally used for laboratory testing and is assessed separately under  RISK-003</t>
  </si>
  <si>
    <t>EV-002</t>
  </si>
  <si>
    <t xml:space="preserve">IPS Operational Status </t>
  </si>
  <si>
    <t>CLI Output</t>
  </si>
  <si>
    <t>Check Point Gaia CLI</t>
  </si>
  <si>
    <t>AST-001; AST-005</t>
  </si>
  <si>
    <t>IPS was enabled and the LAB-IPS-Detect profile was active during validation.</t>
  </si>
  <si>
    <t xml:space="preserve">Check Point Lab Repository - IPS status evidence </t>
  </si>
  <si>
    <t>Technical evidence confirms IPS activation but does not by itself demonstrate protection currency.</t>
  </si>
  <si>
    <t>EV-003</t>
  </si>
  <si>
    <t>IPS Protection Database update Validation</t>
  </si>
  <si>
    <t>CLI Output / Technical Finding</t>
  </si>
  <si>
    <t>IPS protection database update could not be completed under the observed gateway connectivity condition.</t>
  </si>
  <si>
    <t>Finding Identified</t>
  </si>
  <si>
    <t xml:space="preserve">Check Point Lab Repository - IPS update evidence </t>
  </si>
  <si>
    <t>This evidence supports the protection-currency risk scenario documented as RISK-001</t>
  </si>
  <si>
    <t>SQL injection Protection Configuration and Test</t>
  </si>
  <si>
    <t>Configuration / Controlled Test</t>
  </si>
  <si>
    <t>Check Point Smartconsole / LAB-LAN</t>
  </si>
  <si>
    <t>SQL Injection protection was configured as Drop + Log; effective blocking was not conclusively demonstrated during testing.</t>
  </si>
  <si>
    <t>Further Validation Required</t>
  </si>
  <si>
    <t>Validated with Limitation</t>
  </si>
  <si>
    <t>Check Point Lab Repository — SQL Injection test evidence</t>
  </si>
  <si>
    <t>Configuration evidence is available, but operating effectiveness remains inconclusive.</t>
  </si>
  <si>
    <t>Security Logging Configuration</t>
  </si>
  <si>
    <t>Check Point Smartconsole</t>
  </si>
  <si>
    <t xml:space="preserve">Logging was enabled within the assessed security policies </t>
  </si>
  <si>
    <t xml:space="preserve">Control Implemented </t>
  </si>
  <si>
    <t xml:space="preserve">Validated </t>
  </si>
  <si>
    <t>Check Point Lab Repository - logging evidence</t>
  </si>
  <si>
    <t>Evidence is limited to laboratory security logging and does not represent a full SIEM or SOC assessment.</t>
  </si>
  <si>
    <t xml:space="preserve">Threat Prevention Policy Deployment </t>
  </si>
  <si>
    <t>Threat Prevention profile was active and the policy was successfully deployed to the Security Gateway.</t>
  </si>
  <si>
    <t>Control Implemmented with Limitations</t>
  </si>
  <si>
    <t xml:space="preserve">Check Point Lab Repository - Threat Prevention evidence </t>
  </si>
  <si>
    <t>Control deployment was validated; specific effectiveness limitations are documented through EV-003 and EV-004.</t>
  </si>
  <si>
    <t>CYBER RISK ASSESSMENT - RISK TREATMENT PLAN</t>
  </si>
  <si>
    <t>Action ID</t>
  </si>
  <si>
    <t xml:space="preserve">RISK ID </t>
  </si>
  <si>
    <t>Related Finding</t>
  </si>
  <si>
    <t>Treatment Strategy</t>
  </si>
  <si>
    <t>Remediation Action</t>
  </si>
  <si>
    <t>Priority</t>
  </si>
  <si>
    <t xml:space="preserve">Action Owner </t>
  </si>
  <si>
    <t xml:space="preserve">Target Date </t>
  </si>
  <si>
    <t>Status</t>
  </si>
  <si>
    <t>Current Risk Level</t>
  </si>
  <si>
    <t>Target Risk Level</t>
  </si>
  <si>
    <t xml:space="preserve">Validation Method </t>
  </si>
  <si>
    <t xml:space="preserve">Evidence Required </t>
  </si>
  <si>
    <t>Management Notes</t>
  </si>
  <si>
    <t>ACT-001</t>
  </si>
  <si>
    <t>IPS protection database could not be updated due to lack of internet connectivity from the security gateway</t>
  </si>
  <si>
    <t xml:space="preserve">Restore controlled internet connectivity for IPS updates; update the IPS protection database;establish periodic update verification and monitoring </t>
  </si>
  <si>
    <t>TBD</t>
  </si>
  <si>
    <t>Verify successful IPS protection database update and confirm protection currency through check point management and gateway validation</t>
  </si>
  <si>
    <t>Sceenshot or CLI output showing successful IPS update status</t>
  </si>
  <si>
    <t>Risk should be reassessed after remediation evidence is validated. Target residual risk is Medium and assumes IPS protection currency is restored and maintained</t>
  </si>
  <si>
    <t>ACT-002</t>
  </si>
  <si>
    <t>SQL Injection protection was configured as Drop + Log, but effective blocking could not be conclusively validated during testing</t>
  </si>
  <si>
    <t>Perform controlled SQL injection testing; verify IPS  Drop + Log enforcement; validate security logs and document blocking evidence</t>
  </si>
  <si>
    <t>Execute controlled SQL Injection test traffic and verify that malicious requests are blocked and corresponding security events are logged</t>
  </si>
  <si>
    <t>Test results, Smartconsole security logs, screenshots, and configuration evidence demonstarting SQL Injection blocking</t>
  </si>
  <si>
    <t>Risk should be reassessed after effective blocking is demonstrated. Target risk is Medium assuming SQL Injection protection operates as intended</t>
  </si>
  <si>
    <t>ACT-003</t>
  </si>
  <si>
    <t xml:space="preserve">Broad firewall access was intentionally permitted for laboratory testing and requires least-privilege review before production-equivalent use </t>
  </si>
  <si>
    <t>Review firewall rules using least-privilege principles; restrict unnecessary destinations and services; document business justification for required access</t>
  </si>
  <si>
    <t>TDB</t>
  </si>
  <si>
    <t xml:space="preserve">Review the updated Access Control policy and verify that broad rules have been restricted to authorized sources, destinations, services, and required traffic flows </t>
  </si>
  <si>
    <t>SmartConsole Access Control policy screenshot, rule review evidence, and documented justification for remaining permitted access</t>
  </si>
  <si>
    <t xml:space="preserve">Laboratory access was intentionally broad for testing. Prpduction-equivalent deployment should apply least-privilege rules before the risk is considered reduced to Low </t>
  </si>
  <si>
    <t>CYBER RISK ASSESSMENT - EXECUTIVE SUMMARY</t>
  </si>
  <si>
    <t xml:space="preserve">ASSESSMENT OVERVIEW </t>
  </si>
  <si>
    <t>Check Point Security Gateway Cyber Risk Assessment</t>
  </si>
  <si>
    <t>VirtualBox Cybersecurity Laboratory</t>
  </si>
  <si>
    <t xml:space="preserve">VirtualBox Cybersecurity Laboratory                        </t>
  </si>
  <si>
    <t>Assessment :</t>
  </si>
  <si>
    <t>Enviroment :</t>
  </si>
  <si>
    <t>Assessment Type :</t>
  </si>
  <si>
    <t xml:space="preserve">Techical Cyber Risk anf Control Assessment </t>
  </si>
  <si>
    <t>Check Point Security Gateway R82</t>
  </si>
  <si>
    <t>Scope :</t>
  </si>
  <si>
    <t>Access Control, IPS, Threat Prevention, Security Logging, Network Segmentation and Security Policy</t>
  </si>
  <si>
    <t xml:space="preserve">Methodology : </t>
  </si>
  <si>
    <t>Asset, threat, vulnerability, control and evidence-based risk assessment using a 5x5 likelihood-impact matrix</t>
  </si>
  <si>
    <t>RISK OVERVIEW</t>
  </si>
  <si>
    <t xml:space="preserve">Primary Technology : </t>
  </si>
  <si>
    <t>Total Risks:</t>
  </si>
  <si>
    <t>High:</t>
  </si>
  <si>
    <t>Medium:</t>
  </si>
  <si>
    <t>Critical:</t>
  </si>
  <si>
    <t>RISK REDUCTION OVERVIEW</t>
  </si>
  <si>
    <t>Risk ID</t>
  </si>
  <si>
    <t xml:space="preserve">Current Risk Score </t>
  </si>
  <si>
    <t>Target  Risk Score</t>
  </si>
  <si>
    <t>Score Reduction</t>
  </si>
  <si>
    <t>KEY FINDINGS &amp; MANAGEMENT CONCLUSION</t>
  </si>
  <si>
    <t>KEY FINDINGS</t>
  </si>
  <si>
    <t>.</t>
  </si>
  <si>
    <t xml:space="preserve">The assessment identified three cybersecurity risk scenarios within the evaluated Check Point Security Gateway laboratory environment. Two risks were rated High and one was rated Medium. The primary risk drivers were the inability to maintain the IPS protection database under the observed connectivity conditions, incomplete validation of effective SQL Injection blocking, and broad network access permitted for laboratory testing.    Existing security controls, including Access Control, IPS, Threat Prevention, and Security Logging, were implemented and operational; however, specific limitations reduced the level of assurance regarding their effectiveness. No Critical risks were identified during the assessment         </t>
  </si>
  <si>
    <t xml:space="preserve">Management Conclusion </t>
  </si>
  <si>
    <t>The assessed environment demonstrates an established security control baseline; however, remediation is required to address the identified control limitations and reduce residual exposure. Priority should be given to restoring and validating IPS protection currency, conclusively validating SQL Injection prevention effectiveness, and reviewing network access rules according to least-privilege principles. Following implementation and validation of the recommended remediation actions, the assessed risk exposure is expected to decrease from two High and one Medium risks to two Medium and one Low risk. Residual risk should be formally reassessed after remediation evidence has been collected and validated.</t>
  </si>
  <si>
    <t>CYBER RISK ASSESSMENT - ASSESSMENT SIGN-OFF</t>
  </si>
  <si>
    <t>ASSESSMENT INFORMATION</t>
  </si>
  <si>
    <t xml:space="preserve"> Check Point Security Gateway Cyber Risk Assessment </t>
  </si>
  <si>
    <t xml:space="preserve">Assessment : </t>
  </si>
  <si>
    <t xml:space="preserve">Technology : </t>
  </si>
  <si>
    <t xml:space="preserve">Assessment  Type: </t>
  </si>
  <si>
    <t xml:space="preserve">Technical Cyber Risk and Controls Assessment </t>
  </si>
  <si>
    <t xml:space="preserve">Assessment Status : </t>
  </si>
  <si>
    <t>Completed</t>
  </si>
  <si>
    <t xml:space="preserve">Assessment Date : </t>
  </si>
  <si>
    <t xml:space="preserve">Assessor: </t>
  </si>
  <si>
    <t>Enzo Marin</t>
  </si>
  <si>
    <t xml:space="preserve">Version: </t>
  </si>
  <si>
    <t>1.0</t>
  </si>
  <si>
    <t>ASSESSSMENT CONCLUSION</t>
  </si>
  <si>
    <t>The cybersecurity risk assessment has been completed based on the defined scope, technical observations, control validation activities, and evidence collected during the assessment. Three cybersecurity risk scenarios were identified. Two were classified as High and one as Medium. No Critical risks were identified. Remediation actions have been defined for the identified risks. Target residual risk ratings represent the expected risk exposure following successful implementation and validation of the recommended controls and should not be interpreted as confirmed residual risk until remediation evidence has been reviewed.</t>
  </si>
  <si>
    <t>FORMAL SIGN-OFF</t>
  </si>
  <si>
    <t xml:space="preserve">Role </t>
  </si>
  <si>
    <t>Name</t>
  </si>
  <si>
    <t xml:space="preserve">Date </t>
  </si>
  <si>
    <t>Approval/ Status</t>
  </si>
  <si>
    <t>Technical Reviewer:</t>
  </si>
  <si>
    <t>Pending Review</t>
  </si>
  <si>
    <t xml:space="preserve">Risk Owner: </t>
  </si>
  <si>
    <t>Pending Acceptance</t>
  </si>
  <si>
    <t xml:space="preserve">Management / Approver: </t>
  </si>
  <si>
    <t>Pending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</si>
</sst>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4"/>
      <color theme="0"/>
      <name val="Aptos Narrow"/>
      <family val="2"/>
      <scheme val="minor"/>
    </font>
    <font>
      <b/>
      <sz val="11"/>
      <color theme="0" tint="-4.9989318521683403E-2"/>
      <name val="Aptos Narrow"/>
      <family val="2"/>
      <scheme val="minor"/>
    </font>
    <font>
      <sz val="11"/>
      <color theme="0"/>
      <name val="Aptos Narrow"/>
      <family val="2"/>
      <scheme val="minor"/>
    </font>
  </fonts>
  <fills count="10">
    <fill>
      <patternFill patternType="none"/>
    </fill>
    <fill>
      <patternFill patternType="gray125"/>
    </fill>
    <fill>
      <patternFill patternType="solid">
        <fgColor theme="3" tint="9.9978637043366805E-2"/>
        <bgColor indexed="64"/>
      </patternFill>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rgb="FFC00000"/>
        <bgColor indexed="64"/>
      </patternFill>
    </fill>
    <fill>
      <patternFill patternType="solid">
        <fgColor theme="4"/>
        <bgColor indexed="64"/>
      </patternFill>
    </fill>
    <fill>
      <patternFill patternType="solid">
        <fgColor theme="0"/>
        <bgColor indexed="64"/>
      </patternFill>
    </fill>
    <fill>
      <patternFill patternType="solid">
        <fgColor theme="3"/>
        <bgColor indexed="64"/>
      </patternFill>
    </fill>
  </fills>
  <borders count="2">
    <border>
      <left/>
      <right/>
      <top/>
      <bottom/>
      <diagonal/>
    </border>
    <border>
      <left/>
      <right/>
      <top/>
      <bottom style="thin">
        <color indexed="64"/>
      </bottom>
      <diagonal/>
    </border>
  </borders>
  <cellStyleXfs count="1">
    <xf numFmtId="0" fontId="0" fillId="0" borderId="0"/>
  </cellStyleXfs>
  <cellXfs count="71">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2" fillId="0" borderId="0" xfId="0" applyFont="1"/>
    <xf numFmtId="0" fontId="2" fillId="0" borderId="0" xfId="0" applyFont="1" applyAlignment="1">
      <alignment horizontal="center"/>
    </xf>
    <xf numFmtId="0" fontId="0" fillId="0" borderId="0" xfId="0" applyAlignment="1">
      <alignment wrapText="1"/>
    </xf>
    <xf numFmtId="0" fontId="0" fillId="0" borderId="0" xfId="0" applyAlignment="1">
      <alignment vertical="center" wrapText="1"/>
    </xf>
    <xf numFmtId="0" fontId="2" fillId="0" borderId="0" xfId="0" applyFont="1" applyAlignment="1">
      <alignment horizontal="left"/>
    </xf>
    <xf numFmtId="16" fontId="0" fillId="0" borderId="0" xfId="0" applyNumberFormat="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horizontal="center" wrapText="1"/>
    </xf>
    <xf numFmtId="0" fontId="2" fillId="0" borderId="0" xfId="0" applyFont="1" applyAlignment="1">
      <alignment wrapText="1"/>
    </xf>
    <xf numFmtId="0" fontId="0" fillId="4"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7" borderId="0" xfId="0" applyFill="1"/>
    <xf numFmtId="0" fontId="1" fillId="7" borderId="0" xfId="0" applyFont="1" applyFill="1" applyAlignment="1">
      <alignment horizontal="center" wrapText="1"/>
    </xf>
    <xf numFmtId="0" fontId="1" fillId="7" borderId="0" xfId="0" applyFont="1" applyFill="1" applyAlignment="1">
      <alignment vertical="center" wrapText="1"/>
    </xf>
    <xf numFmtId="0" fontId="1" fillId="7" borderId="0" xfId="0" applyFont="1" applyFill="1" applyAlignment="1">
      <alignment horizontal="center" vertical="center" wrapText="1"/>
    </xf>
    <xf numFmtId="0" fontId="1" fillId="7" borderId="0" xfId="0" applyFont="1" applyFill="1" applyAlignment="1">
      <alignment horizontal="center" vertical="center"/>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center" wrapText="1"/>
    </xf>
    <xf numFmtId="0" fontId="0" fillId="5"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wrapText="1"/>
    </xf>
    <xf numFmtId="0" fontId="0" fillId="4" borderId="0" xfId="0" applyFill="1" applyAlignment="1">
      <alignment horizontal="center" vertical="center"/>
    </xf>
    <xf numFmtId="0" fontId="0" fillId="8" borderId="0" xfId="0" applyFill="1" applyAlignment="1">
      <alignment horizontal="center" vertical="center" wrapText="1"/>
    </xf>
    <xf numFmtId="0" fontId="0" fillId="5" borderId="0" xfId="0" applyFill="1" applyAlignment="1">
      <alignment horizontal="center" vertical="center" wrapText="1"/>
    </xf>
    <xf numFmtId="0" fontId="0" fillId="3" borderId="0" xfId="0" applyFill="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wrapText="1"/>
    </xf>
    <xf numFmtId="0" fontId="1" fillId="9" borderId="0" xfId="0" applyFont="1" applyFill="1" applyAlignment="1">
      <alignment wrapText="1"/>
    </xf>
    <xf numFmtId="0" fontId="1" fillId="9" borderId="0" xfId="0" applyFont="1" applyFill="1" applyAlignment="1">
      <alignment horizontal="center" vertical="center"/>
    </xf>
    <xf numFmtId="0" fontId="1" fillId="9" borderId="0" xfId="0" applyFont="1" applyFill="1" applyAlignment="1">
      <alignment vertical="center"/>
    </xf>
    <xf numFmtId="0" fontId="3" fillId="9" borderId="0" xfId="0" applyFont="1" applyFill="1" applyAlignment="1">
      <alignment horizontal="center" vertical="center" wrapText="1"/>
    </xf>
    <xf numFmtId="0" fontId="1"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1" fillId="7" borderId="0" xfId="0" applyFont="1" applyFill="1" applyAlignment="1">
      <alignment horizontal="center"/>
    </xf>
    <xf numFmtId="0" fontId="1" fillId="7"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vertical="top" wrapText="1"/>
    </xf>
    <xf numFmtId="0" fontId="3" fillId="7" borderId="0" xfId="0" applyFont="1" applyFill="1" applyAlignment="1">
      <alignment horizontal="center" vertical="center" wrapText="1"/>
    </xf>
    <xf numFmtId="0" fontId="5" fillId="9" borderId="0" xfId="0" applyFont="1" applyFill="1" applyAlignment="1">
      <alignment horizontal="center" vertical="center" wrapText="1"/>
    </xf>
    <xf numFmtId="0" fontId="0" fillId="4" borderId="0" xfId="0" applyFont="1" applyFill="1" applyAlignment="1">
      <alignment horizontal="center" vertical="center" wrapText="1"/>
    </xf>
    <xf numFmtId="0" fontId="0" fillId="8" borderId="0" xfId="0" applyFont="1" applyFill="1" applyAlignment="1">
      <alignment horizontal="center" vertical="center" wrapText="1"/>
    </xf>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0" fontId="0" fillId="0" borderId="0" xfId="0" applyAlignment="1">
      <alignment horizontal="center" wrapText="1"/>
    </xf>
    <xf numFmtId="0" fontId="0" fillId="4"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1" fillId="7" borderId="0" xfId="0" applyFont="1" applyFill="1" applyAlignment="1">
      <alignment horizontal="center"/>
    </xf>
    <xf numFmtId="0" fontId="0" fillId="0" borderId="0" xfId="0" applyAlignment="1">
      <alignment horizontal="center" vertical="top" wrapText="1"/>
    </xf>
    <xf numFmtId="0" fontId="0" fillId="0" borderId="0" xfId="0" applyAlignment="1">
      <alignment horizontal="center" vertical="center" wrapText="1"/>
    </xf>
    <xf numFmtId="0" fontId="2" fillId="8" borderId="1" xfId="0" applyFont="1" applyFill="1" applyBorder="1" applyAlignment="1">
      <alignment horizontal="center" vertical="center"/>
    </xf>
    <xf numFmtId="0" fontId="2" fillId="8" borderId="0" xfId="0" applyFont="1" applyFill="1" applyAlignment="1">
      <alignment horizontal="center" vertical="center"/>
    </xf>
    <xf numFmtId="0" fontId="1" fillId="9" borderId="0" xfId="0" applyFont="1" applyFill="1" applyAlignment="1">
      <alignment horizontal="center"/>
    </xf>
    <xf numFmtId="0" fontId="1" fillId="9" borderId="0" xfId="0" applyFont="1" applyFill="1" applyAlignment="1">
      <alignment horizontal="center"/>
    </xf>
    <xf numFmtId="14" fontId="0" fillId="0" borderId="0" xfId="0" applyNumberFormat="1"/>
    <xf numFmtId="14" fontId="0" fillId="0" borderId="0" xfId="0" applyNumberFormat="1" applyAlignment="1">
      <alignment horizontal="center" vertical="center"/>
    </xf>
  </cellXfs>
  <cellStyles count="1">
    <cellStyle name="Normal" xfId="0" builtinId="0"/>
  </cellStyles>
  <dxfs count="20">
    <dxf>
      <font>
        <color theme="1"/>
      </font>
      <fill>
        <patternFill>
          <bgColor rgb="FF00B050"/>
        </patternFill>
      </fill>
    </dxf>
    <dxf>
      <font>
        <color theme="1"/>
      </font>
      <fill>
        <patternFill>
          <bgColor rgb="FFFFFF00"/>
        </patternFill>
      </fill>
    </dxf>
    <dxf>
      <font>
        <color theme="1"/>
      </font>
      <fill>
        <patternFill>
          <bgColor theme="5"/>
        </patternFill>
      </fill>
    </dxf>
    <dxf>
      <font>
        <color theme="1"/>
      </font>
      <fill>
        <patternFill>
          <bgColor rgb="FFC00000"/>
        </patternFill>
      </fill>
    </dxf>
    <dxf>
      <font>
        <color theme="1"/>
      </font>
      <fill>
        <patternFill>
          <bgColor rgb="FFFFFF00"/>
        </patternFill>
      </fill>
    </dxf>
    <dxf>
      <font>
        <color rgb="FF9C5700"/>
      </font>
      <fill>
        <patternFill>
          <bgColor rgb="FFFFEB9C"/>
        </patternFill>
      </fill>
    </dxf>
    <dxf>
      <font>
        <color rgb="FF9C5700"/>
      </font>
      <fill>
        <patternFill>
          <bgColor rgb="FFFFEB9C"/>
        </patternFill>
      </fill>
    </dxf>
    <dxf>
      <font>
        <color theme="1"/>
      </font>
      <fill>
        <patternFill>
          <bgColor rgb="FFFFFF00"/>
        </patternFill>
      </fill>
    </dxf>
    <dxf>
      <font>
        <color theme="1"/>
      </font>
      <fill>
        <patternFill>
          <bgColor theme="5"/>
        </patternFill>
      </fill>
    </dxf>
    <dxf>
      <font>
        <color theme="1"/>
      </font>
      <fill>
        <patternFill>
          <bgColor rgb="FF00B050"/>
        </patternFill>
      </fill>
    </dxf>
    <dxf>
      <font>
        <color theme="1"/>
      </font>
      <fill>
        <patternFill>
          <bgColor rgb="FFC00000"/>
        </patternFill>
      </fill>
    </dxf>
    <dxf>
      <font>
        <color rgb="FF006100"/>
      </font>
      <fill>
        <patternFill>
          <bgColor rgb="FFC6EFCE"/>
        </patternFill>
      </fill>
    </dxf>
    <dxf>
      <font>
        <color theme="1"/>
      </font>
      <fill>
        <patternFill>
          <bgColor rgb="FFFFFF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theme="5"/>
      </font>
    </dxf>
    <dxf>
      <font>
        <color theme="1"/>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Current vs Target Risk Score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manualLayout>
          <c:layoutTarget val="inner"/>
          <c:xMode val="edge"/>
          <c:yMode val="edge"/>
          <c:x val="6.9247594050743669E-2"/>
          <c:y val="0.2128014727325751"/>
          <c:w val="0.90297462817147855"/>
          <c:h val="0.6153546952464275"/>
        </c:manualLayout>
      </c:layout>
      <c:barChart>
        <c:barDir val="col"/>
        <c:grouping val="clustered"/>
        <c:varyColors val="0"/>
        <c:ser>
          <c:idx val="0"/>
          <c:order val="0"/>
          <c:tx>
            <c:strRef>
              <c:f>'07_Executive_Summary'!$B$22</c:f>
              <c:strCache>
                <c:ptCount val="1"/>
                <c:pt idx="0">
                  <c:v>Current Risk Score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'07_Executive_Summary'!$A$23:$A$25</c:f>
              <c:strCache>
                <c:ptCount val="3"/>
                <c:pt idx="0">
                  <c:v>RISK-001</c:v>
                </c:pt>
                <c:pt idx="1">
                  <c:v>RISK-002</c:v>
                </c:pt>
                <c:pt idx="2">
                  <c:v>RISK-003</c:v>
                </c:pt>
              </c:strCache>
            </c:strRef>
          </c:cat>
          <c:val>
            <c:numRef>
              <c:f>'07_Executive_Summary'!$B$23:$B$25</c:f>
              <c:numCache>
                <c:formatCode>General</c:formatCode>
                <c:ptCount val="3"/>
                <c:pt idx="0">
                  <c:v>12</c:v>
                </c:pt>
                <c:pt idx="1">
                  <c:v>12</c:v>
                </c:pt>
                <c:pt idx="2">
                  <c:v>6</c:v>
                </c:pt>
              </c:numCache>
            </c:numRef>
          </c:val>
          <c:extLst>
            <c:ext xmlns:c16="http://schemas.microsoft.com/office/drawing/2014/chart" uri="{C3380CC4-5D6E-409C-BE32-E72D297353CC}">
              <c16:uniqueId val="{00000000-8816-4619-ABA0-031B3E7672C8}"/>
            </c:ext>
          </c:extLst>
        </c:ser>
        <c:ser>
          <c:idx val="1"/>
          <c:order val="1"/>
          <c:tx>
            <c:strRef>
              <c:f>'07_Executive_Summary'!$D$22</c:f>
              <c:strCache>
                <c:ptCount val="1"/>
                <c:pt idx="0">
                  <c:v>Target  Risk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'07_Executive_Summary'!$A$23:$A$25</c:f>
              <c:strCache>
                <c:ptCount val="3"/>
                <c:pt idx="0">
                  <c:v>RISK-001</c:v>
                </c:pt>
                <c:pt idx="1">
                  <c:v>RISK-002</c:v>
                </c:pt>
                <c:pt idx="2">
                  <c:v>RISK-003</c:v>
                </c:pt>
              </c:strCache>
            </c:strRef>
          </c:cat>
          <c:val>
            <c:numRef>
              <c:f>'07_Executive_Summary'!$D$23:$D$25</c:f>
              <c:numCache>
                <c:formatCode>General</c:formatCode>
                <c:ptCount val="3"/>
                <c:pt idx="0">
                  <c:v>8</c:v>
                </c:pt>
                <c:pt idx="1">
                  <c:v>8</c:v>
                </c:pt>
                <c:pt idx="2">
                  <c:v>3</c:v>
                </c:pt>
              </c:numCache>
            </c:numRef>
          </c:val>
          <c:extLst>
            <c:ext xmlns:c16="http://schemas.microsoft.com/office/drawing/2014/chart" uri="{C3380CC4-5D6E-409C-BE32-E72D297353CC}">
              <c16:uniqueId val="{00000001-8816-4619-ABA0-031B3E7672C8}"/>
            </c:ext>
          </c:extLst>
        </c:ser>
        <c:dLbls>
          <c:showLegendKey val="0"/>
          <c:showVal val="0"/>
          <c:showCatName val="0"/>
          <c:showSerName val="0"/>
          <c:showPercent val="0"/>
          <c:showBubbleSize val="0"/>
        </c:dLbls>
        <c:gapWidth val="100"/>
        <c:overlap val="-24"/>
        <c:axId val="1433161888"/>
        <c:axId val="1394701360"/>
      </c:barChart>
      <c:catAx>
        <c:axId val="1433161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394701360"/>
        <c:crosses val="autoZero"/>
        <c:auto val="1"/>
        <c:lblAlgn val="ctr"/>
        <c:lblOffset val="100"/>
        <c:noMultiLvlLbl val="0"/>
      </c:catAx>
      <c:valAx>
        <c:axId val="1394701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43316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701040</xdr:colOff>
      <xdr:row>29</xdr:row>
      <xdr:rowOff>92710</xdr:rowOff>
    </xdr:from>
    <xdr:to>
      <xdr:col>2</xdr:col>
      <xdr:colOff>546100</xdr:colOff>
      <xdr:row>52</xdr:row>
      <xdr:rowOff>12700</xdr:rowOff>
    </xdr:to>
    <xdr:graphicFrame macro="">
      <xdr:nvGraphicFramePr>
        <xdr:cNvPr id="2" name="Gráfico 1">
          <a:extLst>
            <a:ext uri="{FF2B5EF4-FFF2-40B4-BE49-F238E27FC236}">
              <a16:creationId xmlns:a16="http://schemas.microsoft.com/office/drawing/2014/main" id="{AEC16914-655D-615A-9D64-2460BCE34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BC78-F842-409B-B97B-FD927757AAAA}">
  <dimension ref="A1:G36"/>
  <sheetViews>
    <sheetView zoomScale="70" zoomScaleNormal="70" workbookViewId="0">
      <selection activeCell="H1" sqref="H1"/>
    </sheetView>
  </sheetViews>
  <sheetFormatPr defaultRowHeight="14.4" x14ac:dyDescent="0.3"/>
  <cols>
    <col min="1" max="1" width="20" customWidth="1"/>
    <col min="2" max="2" width="16.33203125" customWidth="1"/>
    <col min="3" max="4" width="58.21875" customWidth="1"/>
    <col min="5" max="5" width="11.5546875" customWidth="1"/>
    <col min="6" max="6" width="15.88671875" customWidth="1"/>
  </cols>
  <sheetData>
    <row r="1" spans="1:7" ht="18" x14ac:dyDescent="0.35">
      <c r="A1" s="42" t="s">
        <v>0</v>
      </c>
      <c r="B1" s="42"/>
      <c r="C1" s="42"/>
      <c r="D1" s="42"/>
      <c r="E1" s="42"/>
      <c r="F1" s="42"/>
      <c r="G1" s="42"/>
    </row>
    <row r="3" spans="1:7" x14ac:dyDescent="0.3">
      <c r="A3" s="43" t="s">
        <v>1</v>
      </c>
      <c r="B3" s="43"/>
      <c r="C3" s="43"/>
    </row>
    <row r="4" spans="1:7" x14ac:dyDescent="0.3">
      <c r="A4" s="5" t="s">
        <v>2</v>
      </c>
      <c r="B4" s="8" t="s">
        <v>3</v>
      </c>
      <c r="C4" s="8" t="s">
        <v>4</v>
      </c>
    </row>
    <row r="5" spans="1:7" x14ac:dyDescent="0.3">
      <c r="A5" s="3">
        <v>1</v>
      </c>
      <c r="B5" t="s">
        <v>5</v>
      </c>
      <c r="C5" s="6" t="s">
        <v>6</v>
      </c>
    </row>
    <row r="6" spans="1:7" x14ac:dyDescent="0.3">
      <c r="A6" s="3">
        <v>2</v>
      </c>
      <c r="B6" t="s">
        <v>7</v>
      </c>
      <c r="C6" s="6" t="s">
        <v>12</v>
      </c>
    </row>
    <row r="7" spans="1:7" x14ac:dyDescent="0.3">
      <c r="A7" s="3">
        <v>3</v>
      </c>
      <c r="B7" t="s">
        <v>8</v>
      </c>
      <c r="C7" s="6" t="s">
        <v>13</v>
      </c>
    </row>
    <row r="8" spans="1:7" x14ac:dyDescent="0.3">
      <c r="A8" s="3">
        <v>4</v>
      </c>
      <c r="B8" t="s">
        <v>9</v>
      </c>
      <c r="C8" s="6" t="s">
        <v>14</v>
      </c>
    </row>
    <row r="9" spans="1:7" x14ac:dyDescent="0.3">
      <c r="A9" s="2">
        <v>5</v>
      </c>
      <c r="B9" s="6" t="s">
        <v>10</v>
      </c>
      <c r="C9" s="7" t="s">
        <v>11</v>
      </c>
    </row>
    <row r="12" spans="1:7" x14ac:dyDescent="0.3">
      <c r="A12" s="41" t="s">
        <v>15</v>
      </c>
      <c r="B12" s="41"/>
      <c r="C12" s="41"/>
    </row>
    <row r="13" spans="1:7" x14ac:dyDescent="0.3">
      <c r="A13" s="5" t="s">
        <v>16</v>
      </c>
      <c r="B13" s="4" t="s">
        <v>17</v>
      </c>
      <c r="C13" s="4" t="s">
        <v>18</v>
      </c>
    </row>
    <row r="14" spans="1:7" x14ac:dyDescent="0.3">
      <c r="A14" s="2">
        <v>1</v>
      </c>
      <c r="B14" s="6" t="s">
        <v>19</v>
      </c>
      <c r="C14" s="1" t="s">
        <v>20</v>
      </c>
    </row>
    <row r="15" spans="1:7" x14ac:dyDescent="0.3">
      <c r="A15" s="3">
        <v>2</v>
      </c>
      <c r="B15" t="s">
        <v>21</v>
      </c>
      <c r="C15" t="s">
        <v>22</v>
      </c>
    </row>
    <row r="16" spans="1:7" x14ac:dyDescent="0.3">
      <c r="A16" s="3">
        <v>3</v>
      </c>
      <c r="B16" t="s">
        <v>23</v>
      </c>
      <c r="C16" t="s">
        <v>24</v>
      </c>
    </row>
    <row r="17" spans="1:6" x14ac:dyDescent="0.3">
      <c r="A17" s="2">
        <v>4</v>
      </c>
      <c r="B17" t="s">
        <v>25</v>
      </c>
      <c r="C17" t="s">
        <v>26</v>
      </c>
    </row>
    <row r="18" spans="1:6" ht="28.8" x14ac:dyDescent="0.3">
      <c r="A18" s="2">
        <v>5</v>
      </c>
      <c r="B18" s="1" t="s">
        <v>27</v>
      </c>
      <c r="C18" s="7" t="s">
        <v>28</v>
      </c>
    </row>
    <row r="21" spans="1:6" x14ac:dyDescent="0.3">
      <c r="A21" s="41" t="s">
        <v>29</v>
      </c>
      <c r="B21" s="41"/>
      <c r="C21" s="41"/>
    </row>
    <row r="22" spans="1:6" x14ac:dyDescent="0.3">
      <c r="A22" s="5" t="s">
        <v>30</v>
      </c>
      <c r="B22" s="4" t="s">
        <v>31</v>
      </c>
      <c r="C22" s="4" t="s">
        <v>4</v>
      </c>
    </row>
    <row r="23" spans="1:6" x14ac:dyDescent="0.3">
      <c r="A23" s="9" t="s">
        <v>40</v>
      </c>
      <c r="B23" s="10" t="s">
        <v>32</v>
      </c>
      <c r="C23" t="s">
        <v>33</v>
      </c>
    </row>
    <row r="24" spans="1:6" x14ac:dyDescent="0.3">
      <c r="A24" s="3" t="s">
        <v>41</v>
      </c>
      <c r="B24" s="11" t="s">
        <v>34</v>
      </c>
      <c r="C24" t="s">
        <v>35</v>
      </c>
    </row>
    <row r="25" spans="1:6" x14ac:dyDescent="0.3">
      <c r="A25" s="3" t="s">
        <v>42</v>
      </c>
      <c r="B25" s="12" t="s">
        <v>36</v>
      </c>
      <c r="C25" t="s">
        <v>37</v>
      </c>
    </row>
    <row r="26" spans="1:6" x14ac:dyDescent="0.3">
      <c r="A26" s="3" t="s">
        <v>43</v>
      </c>
      <c r="B26" s="13" t="s">
        <v>38</v>
      </c>
      <c r="C26" t="s">
        <v>39</v>
      </c>
    </row>
    <row r="29" spans="1:6" x14ac:dyDescent="0.3">
      <c r="A29" s="41" t="s">
        <v>44</v>
      </c>
      <c r="B29" s="41"/>
      <c r="C29" s="41"/>
      <c r="D29" s="41"/>
      <c r="E29" s="41"/>
      <c r="F29" s="41"/>
    </row>
    <row r="30" spans="1:6" x14ac:dyDescent="0.3">
      <c r="A30" s="6"/>
      <c r="B30" s="3"/>
      <c r="C30" s="14"/>
      <c r="D30" s="3"/>
    </row>
    <row r="31" spans="1:6" ht="28.8" x14ac:dyDescent="0.3">
      <c r="A31" s="15" t="s">
        <v>45</v>
      </c>
      <c r="B31" s="1" t="s">
        <v>46</v>
      </c>
      <c r="C31" s="2" t="s">
        <v>47</v>
      </c>
      <c r="D31" s="2" t="s">
        <v>48</v>
      </c>
      <c r="E31" s="2" t="s">
        <v>49</v>
      </c>
      <c r="F31" s="2" t="s">
        <v>50</v>
      </c>
    </row>
    <row r="32" spans="1:6" x14ac:dyDescent="0.3">
      <c r="A32" t="s">
        <v>51</v>
      </c>
      <c r="B32" s="16">
        <v>5</v>
      </c>
      <c r="C32" s="18">
        <v>10</v>
      </c>
      <c r="D32" s="18">
        <v>15</v>
      </c>
      <c r="E32" s="19">
        <v>20</v>
      </c>
      <c r="F32" s="19">
        <v>25</v>
      </c>
    </row>
    <row r="33" spans="1:6" x14ac:dyDescent="0.3">
      <c r="A33" t="s">
        <v>52</v>
      </c>
      <c r="B33" s="17">
        <v>4</v>
      </c>
      <c r="C33" s="16">
        <v>8</v>
      </c>
      <c r="D33" s="18">
        <v>12</v>
      </c>
      <c r="E33" s="18">
        <v>16</v>
      </c>
      <c r="F33" s="19">
        <v>20</v>
      </c>
    </row>
    <row r="34" spans="1:6" x14ac:dyDescent="0.3">
      <c r="A34" t="s">
        <v>53</v>
      </c>
      <c r="B34" s="17">
        <v>3</v>
      </c>
      <c r="C34" s="16">
        <v>6</v>
      </c>
      <c r="D34" s="16">
        <v>9</v>
      </c>
      <c r="E34" s="18">
        <v>12</v>
      </c>
      <c r="F34" s="18">
        <v>15</v>
      </c>
    </row>
    <row r="35" spans="1:6" x14ac:dyDescent="0.3">
      <c r="A35" t="s">
        <v>54</v>
      </c>
      <c r="B35" s="17">
        <v>2</v>
      </c>
      <c r="C35" s="17">
        <v>4</v>
      </c>
      <c r="D35" s="16">
        <v>6</v>
      </c>
      <c r="E35" s="16">
        <v>8</v>
      </c>
      <c r="F35" s="18">
        <v>10</v>
      </c>
    </row>
    <row r="36" spans="1:6" x14ac:dyDescent="0.3">
      <c r="A36" t="s">
        <v>55</v>
      </c>
      <c r="B36" s="17">
        <v>1</v>
      </c>
      <c r="C36" s="17">
        <v>2</v>
      </c>
      <c r="D36" s="17">
        <v>3</v>
      </c>
      <c r="E36" s="17">
        <v>4</v>
      </c>
      <c r="F36" s="16">
        <v>5</v>
      </c>
    </row>
  </sheetData>
  <mergeCells count="5">
    <mergeCell ref="A12:C12"/>
    <mergeCell ref="A21:C21"/>
    <mergeCell ref="A29:F29"/>
    <mergeCell ref="A1:G1"/>
    <mergeCell ref="A3:C3"/>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7EA55-3083-4CFA-A4CF-566E9E488861}">
  <dimension ref="A1:R6"/>
  <sheetViews>
    <sheetView topLeftCell="E1" zoomScale="70" zoomScaleNormal="70" workbookViewId="0">
      <selection activeCell="A2" sqref="A2"/>
    </sheetView>
  </sheetViews>
  <sheetFormatPr defaultRowHeight="14.4" x14ac:dyDescent="0.3"/>
  <cols>
    <col min="2" max="2" width="15.88671875" customWidth="1"/>
    <col min="3" max="3" width="24.33203125" customWidth="1"/>
    <col min="4" max="4" width="26.33203125" customWidth="1"/>
    <col min="5" max="5" width="23.21875" customWidth="1"/>
    <col min="6" max="6" width="11.77734375" customWidth="1"/>
    <col min="7" max="7" width="12.109375" customWidth="1"/>
    <col min="8" max="8" width="16.77734375" customWidth="1"/>
    <col min="9" max="9" width="18.109375" customWidth="1"/>
    <col min="10" max="10" width="12.77734375" customWidth="1"/>
    <col min="11" max="11" width="48.109375" customWidth="1"/>
    <col min="12" max="12" width="19.33203125" customWidth="1"/>
    <col min="13" max="13" width="17.21875" customWidth="1"/>
    <col min="14" max="14" width="21.21875" customWidth="1"/>
    <col min="15" max="15" width="18.33203125" customWidth="1"/>
    <col min="16" max="16" width="16.77734375" customWidth="1"/>
    <col min="17" max="17" width="15.21875" customWidth="1"/>
    <col min="18" max="18" width="44.33203125" customWidth="1"/>
  </cols>
  <sheetData>
    <row r="1" spans="1:18" x14ac:dyDescent="0.3">
      <c r="A1" s="44" t="s">
        <v>101</v>
      </c>
      <c r="B1" s="44"/>
      <c r="C1" s="44"/>
      <c r="D1" s="44"/>
      <c r="E1" s="44"/>
      <c r="F1" s="44"/>
      <c r="G1" s="44"/>
      <c r="H1" s="44"/>
      <c r="I1" s="44"/>
      <c r="J1" s="44"/>
      <c r="K1" s="44"/>
      <c r="L1" s="44"/>
      <c r="M1" s="44"/>
      <c r="N1" s="44"/>
      <c r="O1" s="44"/>
      <c r="P1" s="44"/>
      <c r="Q1" s="44"/>
      <c r="R1" s="20"/>
    </row>
    <row r="2" spans="1:18" ht="28.8" x14ac:dyDescent="0.3">
      <c r="A2" s="22" t="s">
        <v>56</v>
      </c>
      <c r="B2" s="23" t="s">
        <v>57</v>
      </c>
      <c r="C2" s="23" t="s">
        <v>63</v>
      </c>
      <c r="D2" s="21" t="s">
        <v>64</v>
      </c>
      <c r="E2" s="23" t="s">
        <v>58</v>
      </c>
      <c r="F2" s="23" t="s">
        <v>65</v>
      </c>
      <c r="G2" s="23" t="s">
        <v>66</v>
      </c>
      <c r="H2" s="23" t="s">
        <v>59</v>
      </c>
      <c r="I2" s="24" t="s">
        <v>67</v>
      </c>
      <c r="J2" s="23" t="s">
        <v>60</v>
      </c>
      <c r="K2" s="23" t="s">
        <v>68</v>
      </c>
      <c r="L2" s="23" t="s">
        <v>79</v>
      </c>
      <c r="M2" s="23" t="s">
        <v>78</v>
      </c>
      <c r="N2" s="23" t="s">
        <v>80</v>
      </c>
      <c r="O2" s="23" t="s">
        <v>81</v>
      </c>
      <c r="P2" s="23" t="s">
        <v>61</v>
      </c>
      <c r="Q2" s="23" t="s">
        <v>62</v>
      </c>
      <c r="R2" s="23" t="s">
        <v>90</v>
      </c>
    </row>
    <row r="3" spans="1:18" ht="86.4" x14ac:dyDescent="0.3">
      <c r="A3" s="1" t="s">
        <v>69</v>
      </c>
      <c r="B3" s="26" t="s">
        <v>70</v>
      </c>
      <c r="C3" s="26" t="s">
        <v>71</v>
      </c>
      <c r="D3" s="26" t="s">
        <v>72</v>
      </c>
      <c r="E3" s="26" t="s">
        <v>73</v>
      </c>
      <c r="F3" s="26">
        <v>3</v>
      </c>
      <c r="G3" s="2">
        <v>4</v>
      </c>
      <c r="H3" s="2">
        <f>F3*G3</f>
        <v>12</v>
      </c>
      <c r="I3" s="26" t="str">
        <f>I4</f>
        <v>High</v>
      </c>
      <c r="J3" s="26" t="s">
        <v>74</v>
      </c>
      <c r="K3" s="26" t="s">
        <v>75</v>
      </c>
      <c r="L3" s="2">
        <v>2</v>
      </c>
      <c r="M3" s="26">
        <v>4</v>
      </c>
      <c r="N3" s="2">
        <f>L3*M3</f>
        <v>8</v>
      </c>
      <c r="O3" s="26" t="str">
        <f>IF(N3&lt;=4,"Low",IF(N3&lt;=9,"Medium",IF(N3&lt;=16,"High","Critical")))</f>
        <v>Medium</v>
      </c>
      <c r="P3" s="26" t="s">
        <v>76</v>
      </c>
      <c r="Q3" s="2" t="s">
        <v>77</v>
      </c>
      <c r="R3" s="14" t="s">
        <v>91</v>
      </c>
    </row>
    <row r="4" spans="1:18" ht="72" x14ac:dyDescent="0.3">
      <c r="A4" s="1" t="s">
        <v>84</v>
      </c>
      <c r="B4" s="26" t="s">
        <v>85</v>
      </c>
      <c r="C4" s="26" t="s">
        <v>86</v>
      </c>
      <c r="D4" s="26" t="s">
        <v>87</v>
      </c>
      <c r="E4" s="26" t="s">
        <v>88</v>
      </c>
      <c r="F4" s="2">
        <v>3</v>
      </c>
      <c r="G4" s="2">
        <v>4</v>
      </c>
      <c r="H4" s="2">
        <f>F4*G4</f>
        <v>12</v>
      </c>
      <c r="I4" s="26" t="s">
        <v>36</v>
      </c>
      <c r="J4" s="2" t="s">
        <v>74</v>
      </c>
      <c r="K4" s="27" t="s">
        <v>89</v>
      </c>
      <c r="L4" s="2">
        <v>2</v>
      </c>
      <c r="M4" s="2">
        <v>4</v>
      </c>
      <c r="N4" s="2">
        <f>L4*M4</f>
        <v>8</v>
      </c>
      <c r="O4" s="2" t="str" cm="1">
        <f t="array" ref="O4">IF(N3&lt;=4,"Low",IF(N3&lt;=9,"Medium",IF(O5N3&lt;=16,"High","Critical")))</f>
        <v>Medium</v>
      </c>
      <c r="P4" s="26" t="s">
        <v>76</v>
      </c>
      <c r="Q4" s="2" t="s">
        <v>77</v>
      </c>
      <c r="R4" s="14" t="s">
        <v>92</v>
      </c>
    </row>
    <row r="5" spans="1:18" ht="129.6" x14ac:dyDescent="0.3">
      <c r="A5" s="2" t="s">
        <v>93</v>
      </c>
      <c r="B5" s="26" t="s">
        <v>94</v>
      </c>
      <c r="C5" s="26" t="s">
        <v>95</v>
      </c>
      <c r="D5" s="26" t="s">
        <v>96</v>
      </c>
      <c r="E5" s="26" t="s">
        <v>97</v>
      </c>
      <c r="F5" s="2">
        <v>2</v>
      </c>
      <c r="G5" s="2">
        <v>3</v>
      </c>
      <c r="H5" s="2">
        <f>F5*G5</f>
        <v>6</v>
      </c>
      <c r="I5" s="2" t="s">
        <v>83</v>
      </c>
      <c r="J5" s="2" t="s">
        <v>74</v>
      </c>
      <c r="K5" s="26" t="s">
        <v>99</v>
      </c>
      <c r="L5" s="2">
        <v>1</v>
      </c>
      <c r="M5" s="2">
        <v>3</v>
      </c>
      <c r="N5" s="2">
        <f>L5*M5</f>
        <v>3</v>
      </c>
      <c r="O5" s="2" t="s">
        <v>82</v>
      </c>
      <c r="P5" s="26" t="s">
        <v>76</v>
      </c>
      <c r="Q5" s="2" t="s">
        <v>77</v>
      </c>
      <c r="R5" s="14" t="s">
        <v>98</v>
      </c>
    </row>
    <row r="6" spans="1:18" x14ac:dyDescent="0.3">
      <c r="K6" t="s">
        <v>100</v>
      </c>
    </row>
  </sheetData>
  <mergeCells count="1">
    <mergeCell ref="A1:Q1"/>
  </mergeCells>
  <conditionalFormatting sqref="I3:I29">
    <cfRule type="containsText" dxfId="19" priority="11" operator="containsText" text="High">
      <formula>NOT(ISERROR(SEARCH("High",I3)))</formula>
    </cfRule>
  </conditionalFormatting>
  <conditionalFormatting sqref="I4:I29">
    <cfRule type="containsText" dxfId="18" priority="13" operator="containsText" text="High">
      <formula>NOT(ISERROR(SEARCH("High",I4)))</formula>
    </cfRule>
  </conditionalFormatting>
  <conditionalFormatting sqref="I4:I30">
    <cfRule type="containsText" dxfId="17" priority="16" operator="containsText" text="Critical">
      <formula>NOT(ISERROR(SEARCH("Critical",I4)))</formula>
    </cfRule>
    <cfRule type="containsText" dxfId="16" priority="17" operator="containsText" text="High">
      <formula>NOT(ISERROR(SEARCH("High",I4)))</formula>
    </cfRule>
    <cfRule type="containsText" dxfId="15" priority="18" operator="containsText" text="Medium">
      <formula>NOT(ISERROR(SEARCH("Medium",I4)))</formula>
    </cfRule>
    <cfRule type="containsText" dxfId="14" priority="19" operator="containsText" text="low">
      <formula>NOT(ISERROR(SEARCH("low",I4)))</formula>
    </cfRule>
    <cfRule type="containsText" dxfId="13" priority="20" operator="containsText" text="Low">
      <formula>NOT(ISERROR(SEARCH("Low",I4)))</formula>
    </cfRule>
  </conditionalFormatting>
  <conditionalFormatting sqref="I5">
    <cfRule type="containsText" dxfId="12" priority="1" operator="containsText" text="Medium">
      <formula>NOT(ISERROR(SEARCH("Medium",I5)))</formula>
    </cfRule>
  </conditionalFormatting>
  <conditionalFormatting sqref="O2">
    <cfRule type="containsText" dxfId="11" priority="21" operator="containsText" text="Low ">
      <formula>NOT(ISERROR(SEARCH("Low ",O2)))</formula>
    </cfRule>
  </conditionalFormatting>
  <conditionalFormatting sqref="O3">
    <cfRule type="containsText" dxfId="10" priority="7" operator="containsText" text="Critical">
      <formula>NOT(ISERROR(SEARCH("Critical",O3)))</formula>
    </cfRule>
    <cfRule type="containsText" dxfId="9" priority="8" operator="containsText" text="Low">
      <formula>NOT(ISERROR(SEARCH("Low",O3)))</formula>
    </cfRule>
    <cfRule type="containsText" dxfId="8" priority="9" operator="containsText" text="High">
      <formula>NOT(ISERROR(SEARCH("High",O3)))</formula>
    </cfRule>
    <cfRule type="containsText" dxfId="7" priority="10" operator="containsText" text="Medium">
      <formula>NOT(ISERROR(SEARCH("Medium",O3)))</formula>
    </cfRule>
    <cfRule type="containsText" dxfId="6" priority="14" operator="containsText" text="Medium">
      <formula>NOT(ISERROR(SEARCH("Medium",O3)))</formula>
    </cfRule>
    <cfRule type="containsText" dxfId="5" priority="15" operator="containsText" text="Meidum">
      <formula>NOT(ISERROR(SEARCH("Meidum",O3)))</formula>
    </cfRule>
  </conditionalFormatting>
  <conditionalFormatting sqref="O4">
    <cfRule type="containsText" dxfId="4" priority="2" operator="containsText" text="Medium">
      <formula>NOT(ISERROR(SEARCH("Medium",O4)))</formula>
    </cfRule>
  </conditionalFormatting>
  <conditionalFormatting sqref="O5:O29">
    <cfRule type="containsText" dxfId="3" priority="3" operator="containsText" text="Critical">
      <formula>NOT(ISERROR(SEARCH("Critical",O5)))</formula>
    </cfRule>
    <cfRule type="containsText" dxfId="2" priority="4" operator="containsText" text="High">
      <formula>NOT(ISERROR(SEARCH("High",O5)))</formula>
    </cfRule>
    <cfRule type="containsText" dxfId="1" priority="5" operator="containsText" text="Medium">
      <formula>NOT(ISERROR(SEARCH("Medium",O5)))</formula>
    </cfRule>
    <cfRule type="containsText" dxfId="0" priority="6" operator="containsText" text="Low">
      <formula>NOT(ISERROR(SEARCH("Low",O5)))</formula>
    </cfRule>
  </conditionalFormatting>
  <dataValidations count="2">
    <dataValidation type="list" allowBlank="1" showInputMessage="1" showErrorMessage="1" sqref="J3:J29" xr:uid="{20347900-73B7-40B5-AED5-C26661757CB1}">
      <formula1>"Mitigate,Accept,Avoid,Transfer"</formula1>
    </dataValidation>
    <dataValidation type="list" allowBlank="1" showInputMessage="1" showErrorMessage="1" sqref="Q3:Q29" xr:uid="{A39D88AC-D03A-4773-8AA4-488BB6F225B1}">
      <formula1>"Open,In Progress,Mitigated,Accepted,Closed"</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B63E-7B6B-4C8B-9C4D-6FF958C4CA2D}">
  <dimension ref="A1:N9"/>
  <sheetViews>
    <sheetView zoomScale="70" zoomScaleNormal="70" workbookViewId="0">
      <selection activeCell="T17" sqref="T17"/>
    </sheetView>
  </sheetViews>
  <sheetFormatPr defaultRowHeight="14.4" x14ac:dyDescent="0.3"/>
  <cols>
    <col min="2" max="2" width="12.5546875" customWidth="1"/>
    <col min="3" max="3" width="15.21875" customWidth="1"/>
    <col min="4" max="4" width="24.44140625" customWidth="1"/>
    <col min="5" max="5" width="12.77734375" customWidth="1"/>
    <col min="6" max="6" width="15.109375" customWidth="1"/>
    <col min="8" max="8" width="12.109375" customWidth="1"/>
    <col min="9" max="9" width="14.21875" customWidth="1"/>
    <col min="10" max="10" width="13" customWidth="1"/>
    <col min="11" max="11" width="15.33203125" customWidth="1"/>
    <col min="12" max="12" width="23.6640625" customWidth="1"/>
  </cols>
  <sheetData>
    <row r="1" spans="1:14" ht="86.4" customHeight="1" x14ac:dyDescent="0.3">
      <c r="A1" s="45" t="s">
        <v>102</v>
      </c>
      <c r="B1" s="45"/>
      <c r="C1" s="45"/>
      <c r="D1" s="45"/>
      <c r="E1" s="45"/>
      <c r="F1" s="45"/>
      <c r="G1" s="45"/>
      <c r="H1" s="45"/>
      <c r="I1" s="45"/>
      <c r="J1" s="45"/>
      <c r="K1" s="45"/>
      <c r="L1" s="45"/>
      <c r="N1" s="1"/>
    </row>
    <row r="2" spans="1:14" x14ac:dyDescent="0.3">
      <c r="D2" s="6"/>
    </row>
    <row r="3" spans="1:14" ht="28.8" x14ac:dyDescent="0.3">
      <c r="A3" s="23" t="s">
        <v>103</v>
      </c>
      <c r="B3" s="23" t="s">
        <v>104</v>
      </c>
      <c r="C3" s="23" t="s">
        <v>105</v>
      </c>
      <c r="D3" s="23" t="s">
        <v>106</v>
      </c>
      <c r="E3" s="23" t="s">
        <v>107</v>
      </c>
      <c r="F3" s="23" t="s">
        <v>108</v>
      </c>
      <c r="G3" s="23" t="s">
        <v>109</v>
      </c>
      <c r="H3" s="23" t="s">
        <v>110</v>
      </c>
      <c r="I3" s="23" t="s">
        <v>111</v>
      </c>
      <c r="J3" s="23" t="s">
        <v>112</v>
      </c>
      <c r="K3" s="23" t="s">
        <v>113</v>
      </c>
      <c r="L3" s="23" t="s">
        <v>114</v>
      </c>
    </row>
    <row r="4" spans="1:14" ht="57.6" x14ac:dyDescent="0.3">
      <c r="A4" s="7" t="s">
        <v>115</v>
      </c>
      <c r="B4" s="26" t="s">
        <v>116</v>
      </c>
      <c r="C4" s="26" t="s">
        <v>117</v>
      </c>
      <c r="D4" s="26" t="s">
        <v>118</v>
      </c>
      <c r="E4" s="7" t="s">
        <v>119</v>
      </c>
      <c r="F4" s="30" t="s">
        <v>83</v>
      </c>
      <c r="G4" s="28" t="s">
        <v>36</v>
      </c>
      <c r="H4" s="28" t="s">
        <v>36</v>
      </c>
      <c r="I4" s="28" t="s">
        <v>36</v>
      </c>
      <c r="J4" s="7" t="s">
        <v>120</v>
      </c>
      <c r="K4" s="7" t="s">
        <v>121</v>
      </c>
      <c r="L4" s="26" t="s">
        <v>122</v>
      </c>
    </row>
    <row r="5" spans="1:14" ht="57.6" x14ac:dyDescent="0.3">
      <c r="A5" s="26" t="s">
        <v>123</v>
      </c>
      <c r="B5" s="26" t="s">
        <v>124</v>
      </c>
      <c r="C5" s="2" t="s">
        <v>125</v>
      </c>
      <c r="D5" s="26" t="s">
        <v>126</v>
      </c>
      <c r="E5" s="2" t="s">
        <v>127</v>
      </c>
      <c r="F5" s="29" t="s">
        <v>32</v>
      </c>
      <c r="G5" s="31" t="s">
        <v>83</v>
      </c>
      <c r="H5" s="29" t="s">
        <v>32</v>
      </c>
      <c r="I5" s="31" t="s">
        <v>83</v>
      </c>
      <c r="J5" s="26" t="s">
        <v>128</v>
      </c>
      <c r="K5" s="26" t="s">
        <v>121</v>
      </c>
      <c r="L5" s="26" t="s">
        <v>129</v>
      </c>
    </row>
    <row r="6" spans="1:14" ht="28.8" x14ac:dyDescent="0.3">
      <c r="A6" s="26" t="s">
        <v>130</v>
      </c>
      <c r="B6" s="26" t="s">
        <v>131</v>
      </c>
      <c r="C6" s="7" t="s">
        <v>132</v>
      </c>
      <c r="D6" s="14" t="s">
        <v>133</v>
      </c>
      <c r="E6" s="26" t="s">
        <v>119</v>
      </c>
      <c r="F6" s="29" t="s">
        <v>32</v>
      </c>
      <c r="G6" s="31" t="s">
        <v>83</v>
      </c>
      <c r="H6" s="31" t="s">
        <v>83</v>
      </c>
      <c r="I6" s="31" t="s">
        <v>83</v>
      </c>
      <c r="J6" s="32" t="s">
        <v>120</v>
      </c>
      <c r="K6" s="26" t="s">
        <v>134</v>
      </c>
      <c r="L6" s="26" t="s">
        <v>135</v>
      </c>
    </row>
    <row r="7" spans="1:14" ht="57.6" x14ac:dyDescent="0.3">
      <c r="A7" s="2" t="s">
        <v>136</v>
      </c>
      <c r="B7" s="26" t="s">
        <v>137</v>
      </c>
      <c r="C7" s="26" t="s">
        <v>138</v>
      </c>
      <c r="D7" s="26" t="s">
        <v>139</v>
      </c>
      <c r="E7" s="26" t="s">
        <v>140</v>
      </c>
      <c r="F7" s="33" t="s">
        <v>36</v>
      </c>
      <c r="G7" s="33" t="s">
        <v>36</v>
      </c>
      <c r="H7" s="33" t="s">
        <v>36</v>
      </c>
      <c r="I7" s="33" t="s">
        <v>36</v>
      </c>
      <c r="J7" s="26" t="s">
        <v>141</v>
      </c>
      <c r="K7" s="32" t="s">
        <v>142</v>
      </c>
      <c r="L7" s="32" t="s">
        <v>143</v>
      </c>
    </row>
    <row r="8" spans="1:14" ht="43.2" x14ac:dyDescent="0.3">
      <c r="A8" s="26" t="s">
        <v>144</v>
      </c>
      <c r="B8" s="26" t="s">
        <v>145</v>
      </c>
      <c r="C8" s="25" t="s">
        <v>146</v>
      </c>
      <c r="D8" s="26" t="s">
        <v>147</v>
      </c>
      <c r="E8" s="26" t="s">
        <v>148</v>
      </c>
      <c r="F8" s="34" t="s">
        <v>32</v>
      </c>
      <c r="G8" s="33" t="s">
        <v>36</v>
      </c>
      <c r="H8" s="33" t="s">
        <v>36</v>
      </c>
      <c r="I8" s="33" t="s">
        <v>149</v>
      </c>
      <c r="J8" s="26" t="s">
        <v>120</v>
      </c>
      <c r="K8" s="32" t="s">
        <v>150</v>
      </c>
      <c r="L8" s="26" t="s">
        <v>151</v>
      </c>
    </row>
    <row r="9" spans="1:14" ht="57.6" x14ac:dyDescent="0.3">
      <c r="A9" s="26" t="s">
        <v>152</v>
      </c>
      <c r="B9" s="26" t="s">
        <v>153</v>
      </c>
      <c r="C9" s="26" t="s">
        <v>154</v>
      </c>
      <c r="D9" s="26" t="s">
        <v>155</v>
      </c>
      <c r="E9" s="26" t="s">
        <v>156</v>
      </c>
      <c r="F9" s="30" t="s">
        <v>83</v>
      </c>
      <c r="G9" s="33" t="s">
        <v>36</v>
      </c>
      <c r="H9" s="33" t="s">
        <v>149</v>
      </c>
      <c r="I9" s="33" t="s">
        <v>36</v>
      </c>
      <c r="J9" s="26" t="s">
        <v>120</v>
      </c>
      <c r="K9" s="32" t="s">
        <v>157</v>
      </c>
      <c r="L9" s="26" t="s">
        <v>158</v>
      </c>
    </row>
  </sheetData>
  <mergeCells count="1">
    <mergeCell ref="A1:L1"/>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67FB-FEA6-4F27-96AD-9F977D157669}">
  <dimension ref="A1:M9"/>
  <sheetViews>
    <sheetView zoomScale="80" zoomScaleNormal="80" workbookViewId="0">
      <selection activeCell="N14" sqref="N14"/>
    </sheetView>
  </sheetViews>
  <sheetFormatPr defaultRowHeight="14.4" x14ac:dyDescent="0.3"/>
  <cols>
    <col min="1" max="1" width="8.77734375" customWidth="1"/>
    <col min="2" max="2" width="12.21875" customWidth="1"/>
    <col min="3" max="3" width="12.33203125" customWidth="1"/>
    <col min="4" max="4" width="23" customWidth="1"/>
    <col min="5" max="5" width="15.33203125" customWidth="1"/>
    <col min="6" max="6" width="16.21875" customWidth="1"/>
    <col min="7" max="7" width="12" customWidth="1"/>
    <col min="8" max="8" width="14" customWidth="1"/>
    <col min="9" max="9" width="26.88671875" customWidth="1"/>
    <col min="10" max="10" width="28.21875" customWidth="1"/>
    <col min="11" max="11" width="18" customWidth="1"/>
    <col min="12" max="12" width="12.21875" customWidth="1"/>
    <col min="13" max="13" width="30.88671875" customWidth="1"/>
  </cols>
  <sheetData>
    <row r="1" spans="1:13" ht="115.2" customHeight="1" x14ac:dyDescent="0.3">
      <c r="A1" s="40" t="s">
        <v>159</v>
      </c>
      <c r="B1" s="40"/>
      <c r="C1" s="40"/>
      <c r="D1" s="40"/>
      <c r="E1" s="40"/>
      <c r="F1" s="40"/>
      <c r="G1" s="40"/>
      <c r="H1" s="40"/>
      <c r="I1" s="40"/>
      <c r="J1" s="40"/>
      <c r="K1" s="40"/>
      <c r="L1" s="40"/>
      <c r="M1" s="40"/>
    </row>
    <row r="3" spans="1:13" x14ac:dyDescent="0.3">
      <c r="A3" s="46"/>
      <c r="B3" s="46"/>
      <c r="C3" s="46"/>
      <c r="D3" s="46"/>
      <c r="E3" s="46"/>
      <c r="F3" s="46"/>
      <c r="G3" s="46"/>
      <c r="H3" s="46"/>
      <c r="I3" s="46"/>
      <c r="J3" s="46"/>
      <c r="K3" s="46"/>
      <c r="L3" s="46"/>
      <c r="M3" s="46"/>
    </row>
    <row r="4" spans="1:13" ht="28.8" x14ac:dyDescent="0.3">
      <c r="A4" s="35" t="s">
        <v>165</v>
      </c>
      <c r="B4" s="35" t="s">
        <v>160</v>
      </c>
      <c r="C4" s="36" t="s">
        <v>166</v>
      </c>
      <c r="D4" s="35" t="s">
        <v>167</v>
      </c>
      <c r="E4" s="36" t="s">
        <v>161</v>
      </c>
      <c r="F4" s="35" t="s">
        <v>162</v>
      </c>
      <c r="G4" s="37" t="s">
        <v>163</v>
      </c>
      <c r="H4" s="35" t="s">
        <v>164</v>
      </c>
      <c r="I4" s="35" t="s">
        <v>168</v>
      </c>
      <c r="J4" s="35" t="s">
        <v>169</v>
      </c>
      <c r="K4" s="35" t="s">
        <v>170</v>
      </c>
      <c r="L4" s="35" t="s">
        <v>171</v>
      </c>
      <c r="M4" s="35" t="s">
        <v>172</v>
      </c>
    </row>
    <row r="5" spans="1:13" ht="72" x14ac:dyDescent="0.3">
      <c r="A5" s="7" t="s">
        <v>173</v>
      </c>
      <c r="B5" s="26" t="s">
        <v>174</v>
      </c>
      <c r="C5" s="26" t="s">
        <v>175</v>
      </c>
      <c r="D5" s="26" t="s">
        <v>176</v>
      </c>
      <c r="E5" s="26" t="s">
        <v>177</v>
      </c>
      <c r="F5" s="26" t="s">
        <v>178</v>
      </c>
      <c r="G5" s="26" t="s">
        <v>179</v>
      </c>
      <c r="H5" s="26" t="s">
        <v>180</v>
      </c>
      <c r="I5" s="26" t="s">
        <v>181</v>
      </c>
      <c r="J5" s="26" t="s">
        <v>182</v>
      </c>
      <c r="K5" s="26" t="s">
        <v>93</v>
      </c>
      <c r="L5" s="26" t="s">
        <v>76</v>
      </c>
      <c r="M5" s="26" t="s">
        <v>183</v>
      </c>
    </row>
    <row r="6" spans="1:13" ht="57.6" x14ac:dyDescent="0.3">
      <c r="A6" s="26" t="s">
        <v>184</v>
      </c>
      <c r="B6" s="26" t="s">
        <v>185</v>
      </c>
      <c r="C6" s="26" t="s">
        <v>186</v>
      </c>
      <c r="D6" s="26" t="s">
        <v>187</v>
      </c>
      <c r="E6" s="26" t="s">
        <v>188</v>
      </c>
      <c r="F6" s="26" t="s">
        <v>178</v>
      </c>
      <c r="G6" s="26" t="s">
        <v>179</v>
      </c>
      <c r="H6" s="7" t="s">
        <v>189</v>
      </c>
      <c r="I6" s="26" t="s">
        <v>190</v>
      </c>
      <c r="J6" s="26" t="s">
        <v>191</v>
      </c>
      <c r="K6" s="26" t="s">
        <v>69</v>
      </c>
      <c r="L6" s="26" t="s">
        <v>76</v>
      </c>
      <c r="M6" s="26" t="s">
        <v>192</v>
      </c>
    </row>
    <row r="7" spans="1:13" ht="43.2" x14ac:dyDescent="0.3">
      <c r="A7" s="1" t="s">
        <v>193</v>
      </c>
      <c r="B7" s="26" t="s">
        <v>194</v>
      </c>
      <c r="C7" s="26" t="s">
        <v>195</v>
      </c>
      <c r="D7" s="26" t="s">
        <v>196</v>
      </c>
      <c r="E7" s="26" t="s">
        <v>197</v>
      </c>
      <c r="F7" s="2" t="s">
        <v>178</v>
      </c>
      <c r="G7" s="26" t="s">
        <v>198</v>
      </c>
      <c r="H7" s="26" t="s">
        <v>199</v>
      </c>
      <c r="I7" s="26" t="s">
        <v>200</v>
      </c>
      <c r="J7" s="14" t="s">
        <v>201</v>
      </c>
      <c r="K7" s="26" t="s">
        <v>84</v>
      </c>
      <c r="L7" s="26" t="s">
        <v>76</v>
      </c>
      <c r="M7" s="26" t="s">
        <v>202</v>
      </c>
    </row>
    <row r="8" spans="1:13" ht="57.6" x14ac:dyDescent="0.3">
      <c r="A8" s="1" t="s">
        <v>203</v>
      </c>
      <c r="B8" s="26" t="s">
        <v>204</v>
      </c>
      <c r="C8" s="26" t="s">
        <v>205</v>
      </c>
      <c r="D8" s="14" t="s">
        <v>206</v>
      </c>
      <c r="E8" s="26" t="s">
        <v>207</v>
      </c>
      <c r="F8" s="2" t="s">
        <v>178</v>
      </c>
      <c r="G8" s="26" t="s">
        <v>208</v>
      </c>
      <c r="H8" s="26" t="s">
        <v>209</v>
      </c>
      <c r="I8" s="26" t="s">
        <v>210</v>
      </c>
      <c r="J8" s="26" t="s">
        <v>211</v>
      </c>
      <c r="K8" s="26" t="s">
        <v>212</v>
      </c>
      <c r="L8" s="26" t="s">
        <v>76</v>
      </c>
      <c r="M8" s="26" t="s">
        <v>213</v>
      </c>
    </row>
    <row r="9" spans="1:13" ht="57.6" x14ac:dyDescent="0.3">
      <c r="A9" s="1" t="s">
        <v>214</v>
      </c>
      <c r="B9" s="26" t="s">
        <v>215</v>
      </c>
      <c r="C9" s="26" t="s">
        <v>186</v>
      </c>
      <c r="D9" s="26" t="s">
        <v>216</v>
      </c>
      <c r="E9" s="26" t="s">
        <v>188</v>
      </c>
      <c r="F9" s="26" t="s">
        <v>178</v>
      </c>
      <c r="G9" s="26" t="s">
        <v>179</v>
      </c>
      <c r="H9" s="26" t="s">
        <v>217</v>
      </c>
      <c r="I9" s="26" t="s">
        <v>218</v>
      </c>
      <c r="J9" s="26" t="s">
        <v>219</v>
      </c>
      <c r="K9" s="26" t="s">
        <v>220</v>
      </c>
      <c r="L9" s="26" t="s">
        <v>76</v>
      </c>
      <c r="M9" s="26" t="s">
        <v>221</v>
      </c>
    </row>
  </sheetData>
  <mergeCells count="2">
    <mergeCell ref="A1:M1"/>
    <mergeCell ref="A3:M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02AE-1BFE-409E-ACCB-13AF330462BD}">
  <dimension ref="A1:L9"/>
  <sheetViews>
    <sheetView zoomScale="80" zoomScaleNormal="80" workbookViewId="0">
      <selection activeCell="N9" sqref="N9"/>
    </sheetView>
  </sheetViews>
  <sheetFormatPr defaultRowHeight="14.4" x14ac:dyDescent="0.3"/>
  <cols>
    <col min="1" max="1" width="18.33203125" customWidth="1"/>
    <col min="2" max="2" width="19.33203125" customWidth="1"/>
    <col min="3" max="3" width="17.21875" customWidth="1"/>
    <col min="4" max="4" width="16.33203125" customWidth="1"/>
    <col min="5" max="5" width="15.33203125" customWidth="1"/>
    <col min="6" max="6" width="16.21875" customWidth="1"/>
    <col min="7" max="7" width="28.88671875" customWidth="1"/>
    <col min="8" max="8" width="19.21875" customWidth="1"/>
    <col min="9" max="9" width="14.33203125" customWidth="1"/>
    <col min="10" max="10" width="13.6640625" customWidth="1"/>
    <col min="11" max="11" width="20.109375" customWidth="1"/>
    <col min="12" max="12" width="25.77734375" customWidth="1"/>
  </cols>
  <sheetData>
    <row r="1" spans="1:12" ht="100.8" customHeight="1" x14ac:dyDescent="0.3">
      <c r="A1" s="40" t="s">
        <v>222</v>
      </c>
      <c r="B1" s="40"/>
      <c r="C1" s="40"/>
      <c r="D1" s="40"/>
      <c r="E1" s="40"/>
      <c r="F1" s="40"/>
      <c r="G1" s="40"/>
      <c r="H1" s="40"/>
      <c r="I1" s="40"/>
      <c r="J1" s="40"/>
      <c r="K1" s="40"/>
      <c r="L1" s="40"/>
    </row>
    <row r="3" spans="1:12" x14ac:dyDescent="0.3">
      <c r="A3" s="38" t="s">
        <v>223</v>
      </c>
      <c r="B3" s="38" t="s">
        <v>224</v>
      </c>
      <c r="C3" s="38" t="s">
        <v>225</v>
      </c>
      <c r="D3" s="38" t="s">
        <v>226</v>
      </c>
      <c r="E3" s="38" t="s">
        <v>161</v>
      </c>
      <c r="F3" s="38" t="s">
        <v>227</v>
      </c>
      <c r="G3" s="38" t="s">
        <v>228</v>
      </c>
      <c r="H3" s="36" t="s">
        <v>229</v>
      </c>
      <c r="I3" s="35" t="s">
        <v>170</v>
      </c>
      <c r="J3" s="39" t="s">
        <v>230</v>
      </c>
      <c r="K3" s="35" t="s">
        <v>231</v>
      </c>
      <c r="L3" s="38" t="s">
        <v>232</v>
      </c>
    </row>
    <row r="4" spans="1:12" ht="72" x14ac:dyDescent="0.3">
      <c r="A4" s="2" t="s">
        <v>180</v>
      </c>
      <c r="B4" s="26" t="s">
        <v>233</v>
      </c>
      <c r="C4" s="26" t="s">
        <v>234</v>
      </c>
      <c r="D4" s="26" t="s">
        <v>235</v>
      </c>
      <c r="E4" s="26" t="s">
        <v>236</v>
      </c>
      <c r="F4" s="26" t="s">
        <v>173</v>
      </c>
      <c r="G4" s="26" t="s">
        <v>237</v>
      </c>
      <c r="H4" s="26" t="s">
        <v>238</v>
      </c>
      <c r="I4" s="26" t="s">
        <v>93</v>
      </c>
      <c r="J4" s="26" t="s">
        <v>239</v>
      </c>
      <c r="K4" s="26" t="s">
        <v>240</v>
      </c>
      <c r="L4" s="26" t="s">
        <v>241</v>
      </c>
    </row>
    <row r="5" spans="1:12" ht="57.6" x14ac:dyDescent="0.3">
      <c r="A5" s="2" t="s">
        <v>242</v>
      </c>
      <c r="B5" s="26" t="s">
        <v>243</v>
      </c>
      <c r="C5" s="2" t="s">
        <v>244</v>
      </c>
      <c r="D5" s="26" t="s">
        <v>245</v>
      </c>
      <c r="E5" s="26" t="s">
        <v>246</v>
      </c>
      <c r="F5" s="26" t="s">
        <v>184</v>
      </c>
      <c r="G5" s="26" t="s">
        <v>247</v>
      </c>
      <c r="H5" s="26" t="s">
        <v>238</v>
      </c>
      <c r="I5" s="26" t="s">
        <v>69</v>
      </c>
      <c r="J5" s="26" t="s">
        <v>239</v>
      </c>
      <c r="K5" s="26" t="s">
        <v>248</v>
      </c>
      <c r="L5" s="26" t="s">
        <v>249</v>
      </c>
    </row>
    <row r="6" spans="1:12" ht="57.6" x14ac:dyDescent="0.3">
      <c r="A6" s="26" t="s">
        <v>250</v>
      </c>
      <c r="B6" s="26" t="s">
        <v>251</v>
      </c>
      <c r="C6" s="26" t="s">
        <v>252</v>
      </c>
      <c r="D6" s="26" t="s">
        <v>245</v>
      </c>
      <c r="E6" s="26" t="s">
        <v>246</v>
      </c>
      <c r="F6" s="26" t="s">
        <v>184</v>
      </c>
      <c r="G6" s="26" t="s">
        <v>253</v>
      </c>
      <c r="H6" s="26" t="s">
        <v>254</v>
      </c>
      <c r="I6" s="26" t="s">
        <v>69</v>
      </c>
      <c r="J6" s="26" t="s">
        <v>239</v>
      </c>
      <c r="K6" s="26" t="s">
        <v>255</v>
      </c>
      <c r="L6" s="26" t="s">
        <v>256</v>
      </c>
    </row>
    <row r="7" spans="1:12" ht="57.6" x14ac:dyDescent="0.3">
      <c r="A7" s="26" t="s">
        <v>199</v>
      </c>
      <c r="B7" s="26" t="s">
        <v>257</v>
      </c>
      <c r="C7" s="26" t="s">
        <v>258</v>
      </c>
      <c r="D7" s="26" t="s">
        <v>259</v>
      </c>
      <c r="E7" s="26" t="s">
        <v>197</v>
      </c>
      <c r="F7" s="26" t="s">
        <v>193</v>
      </c>
      <c r="G7" s="26" t="s">
        <v>260</v>
      </c>
      <c r="H7" s="26" t="s">
        <v>261</v>
      </c>
      <c r="I7" s="2" t="s">
        <v>84</v>
      </c>
      <c r="J7" s="26" t="s">
        <v>262</v>
      </c>
      <c r="K7" s="26" t="s">
        <v>263</v>
      </c>
      <c r="L7" s="26" t="s">
        <v>264</v>
      </c>
    </row>
    <row r="8" spans="1:12" ht="57.6" x14ac:dyDescent="0.3">
      <c r="A8" s="26" t="s">
        <v>209</v>
      </c>
      <c r="B8" s="14" t="s">
        <v>265</v>
      </c>
      <c r="C8" s="26" t="s">
        <v>234</v>
      </c>
      <c r="D8" s="26" t="s">
        <v>266</v>
      </c>
      <c r="E8" s="26" t="s">
        <v>207</v>
      </c>
      <c r="F8" s="26" t="s">
        <v>203</v>
      </c>
      <c r="G8" s="26" t="s">
        <v>267</v>
      </c>
      <c r="H8" s="26" t="s">
        <v>268</v>
      </c>
      <c r="I8" s="26" t="s">
        <v>212</v>
      </c>
      <c r="J8" s="26" t="s">
        <v>269</v>
      </c>
      <c r="K8" s="26" t="s">
        <v>270</v>
      </c>
      <c r="L8" s="14" t="s">
        <v>271</v>
      </c>
    </row>
    <row r="9" spans="1:12" ht="72" x14ac:dyDescent="0.3">
      <c r="A9" s="26" t="s">
        <v>217</v>
      </c>
      <c r="B9" s="26" t="s">
        <v>272</v>
      </c>
      <c r="C9" s="26" t="s">
        <v>234</v>
      </c>
      <c r="D9" s="26" t="s">
        <v>235</v>
      </c>
      <c r="E9" s="26" t="s">
        <v>188</v>
      </c>
      <c r="F9" s="26" t="s">
        <v>214</v>
      </c>
      <c r="G9" s="26" t="s">
        <v>273</v>
      </c>
      <c r="H9" s="26" t="s">
        <v>274</v>
      </c>
      <c r="I9" s="26" t="s">
        <v>220</v>
      </c>
      <c r="J9" s="26" t="s">
        <v>239</v>
      </c>
      <c r="K9" s="26" t="s">
        <v>275</v>
      </c>
      <c r="L9" s="26" t="s">
        <v>276</v>
      </c>
    </row>
  </sheetData>
  <mergeCells count="1">
    <mergeCell ref="A1:L1"/>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28756-484F-4FF3-A2BF-14AB0B242DAF}">
  <dimension ref="A1:N6"/>
  <sheetViews>
    <sheetView topLeftCell="A2" zoomScale="70" zoomScaleNormal="70" workbookViewId="0">
      <selection activeCell="B6" sqref="B6"/>
    </sheetView>
  </sheetViews>
  <sheetFormatPr defaultRowHeight="14.4" x14ac:dyDescent="0.3"/>
  <cols>
    <col min="1" max="1" width="25" customWidth="1"/>
    <col min="2" max="2" width="15.77734375" customWidth="1"/>
    <col min="3" max="3" width="44" customWidth="1"/>
    <col min="4" max="4" width="17" customWidth="1"/>
    <col min="5" max="5" width="33" customWidth="1"/>
    <col min="6" max="6" width="17" customWidth="1"/>
    <col min="7" max="7" width="21.77734375" customWidth="1"/>
    <col min="8" max="8" width="15.5546875" customWidth="1"/>
    <col min="9" max="9" width="16.21875" customWidth="1"/>
    <col min="10" max="10" width="12.88671875" customWidth="1"/>
    <col min="11" max="11" width="17.44140625" customWidth="1"/>
    <col min="12" max="12" width="39.88671875" customWidth="1"/>
    <col min="13" max="13" width="26.6640625" customWidth="1"/>
    <col min="14" max="14" width="27.6640625" customWidth="1"/>
  </cols>
  <sheetData>
    <row r="1" spans="1:14" ht="100.8" customHeight="1" x14ac:dyDescent="0.3">
      <c r="A1" s="40" t="s">
        <v>277</v>
      </c>
      <c r="B1" s="40"/>
      <c r="C1" s="40"/>
      <c r="D1" s="40"/>
      <c r="E1" s="40"/>
      <c r="F1" s="40"/>
      <c r="G1" s="40"/>
      <c r="H1" s="40"/>
      <c r="I1" s="40"/>
      <c r="J1" s="40"/>
      <c r="K1" s="40"/>
      <c r="L1" s="40"/>
      <c r="M1" s="40"/>
      <c r="N1" s="40"/>
    </row>
    <row r="3" spans="1:14" ht="28.8" x14ac:dyDescent="0.3">
      <c r="A3" s="35" t="s">
        <v>278</v>
      </c>
      <c r="B3" s="35" t="s">
        <v>279</v>
      </c>
      <c r="C3" s="35" t="s">
        <v>280</v>
      </c>
      <c r="D3" s="49" t="s">
        <v>281</v>
      </c>
      <c r="E3" s="35" t="s">
        <v>282</v>
      </c>
      <c r="F3" s="35" t="s">
        <v>283</v>
      </c>
      <c r="G3" s="35" t="s">
        <v>284</v>
      </c>
      <c r="H3" s="35" t="s">
        <v>285</v>
      </c>
      <c r="I3" s="35" t="s">
        <v>286</v>
      </c>
      <c r="J3" s="35" t="s">
        <v>287</v>
      </c>
      <c r="K3" s="35" t="s">
        <v>288</v>
      </c>
      <c r="L3" s="38" t="s">
        <v>289</v>
      </c>
      <c r="M3" s="35" t="s">
        <v>290</v>
      </c>
      <c r="N3" s="35" t="s">
        <v>291</v>
      </c>
    </row>
    <row r="4" spans="1:14" ht="86.4" x14ac:dyDescent="0.3">
      <c r="A4" s="2" t="s">
        <v>292</v>
      </c>
      <c r="B4" s="26" t="s">
        <v>69</v>
      </c>
      <c r="C4" s="26" t="s">
        <v>293</v>
      </c>
      <c r="D4" s="26" t="s">
        <v>74</v>
      </c>
      <c r="E4" s="26" t="s">
        <v>294</v>
      </c>
      <c r="F4" s="33" t="s">
        <v>36</v>
      </c>
      <c r="G4" s="26" t="s">
        <v>76</v>
      </c>
      <c r="H4" s="26" t="s">
        <v>295</v>
      </c>
      <c r="I4" s="26" t="s">
        <v>77</v>
      </c>
      <c r="J4" s="33" t="s">
        <v>36</v>
      </c>
      <c r="K4" s="30" t="s">
        <v>83</v>
      </c>
      <c r="L4" s="26" t="s">
        <v>296</v>
      </c>
      <c r="M4" s="26" t="s">
        <v>297</v>
      </c>
      <c r="N4" s="26" t="s">
        <v>298</v>
      </c>
    </row>
    <row r="5" spans="1:14" ht="72" x14ac:dyDescent="0.3">
      <c r="A5" s="26" t="s">
        <v>299</v>
      </c>
      <c r="B5" s="26" t="s">
        <v>84</v>
      </c>
      <c r="C5" s="26" t="s">
        <v>300</v>
      </c>
      <c r="D5" s="2" t="s">
        <v>74</v>
      </c>
      <c r="E5" s="26" t="s">
        <v>301</v>
      </c>
      <c r="F5" s="33" t="s">
        <v>36</v>
      </c>
      <c r="G5" s="26" t="s">
        <v>76</v>
      </c>
      <c r="H5" s="26" t="s">
        <v>295</v>
      </c>
      <c r="I5" s="26" t="s">
        <v>77</v>
      </c>
      <c r="J5" s="33" t="s">
        <v>36</v>
      </c>
      <c r="K5" s="30" t="s">
        <v>83</v>
      </c>
      <c r="L5" s="26" t="s">
        <v>302</v>
      </c>
      <c r="M5" s="26" t="s">
        <v>303</v>
      </c>
      <c r="N5" s="26" t="s">
        <v>304</v>
      </c>
    </row>
    <row r="6" spans="1:14" ht="86.4" x14ac:dyDescent="0.3">
      <c r="A6" s="14" t="s">
        <v>305</v>
      </c>
      <c r="B6" s="26" t="s">
        <v>93</v>
      </c>
      <c r="C6" s="26" t="s">
        <v>306</v>
      </c>
      <c r="D6" s="26" t="s">
        <v>74</v>
      </c>
      <c r="E6" s="26" t="s">
        <v>307</v>
      </c>
      <c r="F6" s="50" t="s">
        <v>83</v>
      </c>
      <c r="G6" s="26" t="s">
        <v>76</v>
      </c>
      <c r="H6" s="26" t="s">
        <v>308</v>
      </c>
      <c r="I6" s="26" t="s">
        <v>77</v>
      </c>
      <c r="J6" s="31" t="s">
        <v>83</v>
      </c>
      <c r="K6" s="29" t="s">
        <v>82</v>
      </c>
      <c r="L6" s="26" t="s">
        <v>309</v>
      </c>
      <c r="M6" s="26" t="s">
        <v>310</v>
      </c>
      <c r="N6" s="26" t="s">
        <v>311</v>
      </c>
    </row>
  </sheetData>
  <mergeCells count="1">
    <mergeCell ref="A1:N1"/>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1F483-D0AA-46ED-A073-28DC93991763}">
  <dimension ref="A1:H66"/>
  <sheetViews>
    <sheetView topLeftCell="A57" zoomScaleNormal="100" workbookViewId="0">
      <selection activeCell="A60" sqref="A60"/>
    </sheetView>
  </sheetViews>
  <sheetFormatPr defaultRowHeight="14.4" x14ac:dyDescent="0.3"/>
  <cols>
    <col min="1" max="1" width="71.77734375" customWidth="1"/>
    <col min="2" max="2" width="60.77734375" customWidth="1"/>
    <col min="3" max="3" width="26.33203125" customWidth="1"/>
    <col min="4" max="4" width="25.6640625" customWidth="1"/>
    <col min="5" max="5" width="28" customWidth="1"/>
    <col min="6" max="6" width="24.21875" customWidth="1"/>
    <col min="7" max="7" width="15.88671875" customWidth="1"/>
  </cols>
  <sheetData>
    <row r="1" spans="1:8" ht="115.2" customHeight="1" x14ac:dyDescent="0.3">
      <c r="A1" s="48" t="s">
        <v>312</v>
      </c>
      <c r="B1" s="48"/>
      <c r="C1" s="48"/>
      <c r="D1" s="48"/>
      <c r="E1" s="48"/>
      <c r="F1" s="48"/>
      <c r="G1" s="48"/>
      <c r="H1" s="48"/>
    </row>
    <row r="3" spans="1:8" x14ac:dyDescent="0.3">
      <c r="A3" s="44" t="s">
        <v>313</v>
      </c>
      <c r="B3" s="44"/>
      <c r="C3" s="44"/>
      <c r="D3" s="44"/>
      <c r="E3" s="44"/>
      <c r="F3" s="44"/>
      <c r="G3" s="44"/>
      <c r="H3" s="44"/>
    </row>
    <row r="4" spans="1:8" x14ac:dyDescent="0.3">
      <c r="A4" s="65" t="s">
        <v>317</v>
      </c>
      <c r="B4" s="51" t="s">
        <v>314</v>
      </c>
    </row>
    <row r="5" spans="1:8" x14ac:dyDescent="0.3">
      <c r="A5" s="66" t="s">
        <v>318</v>
      </c>
      <c r="B5" s="57" t="s">
        <v>316</v>
      </c>
    </row>
    <row r="6" spans="1:8" x14ac:dyDescent="0.3">
      <c r="B6" s="6"/>
    </row>
    <row r="7" spans="1:8" x14ac:dyDescent="0.3">
      <c r="A7" s="66" t="s">
        <v>319</v>
      </c>
      <c r="B7" s="64" t="s">
        <v>320</v>
      </c>
    </row>
    <row r="9" spans="1:8" x14ac:dyDescent="0.3">
      <c r="A9" s="66" t="s">
        <v>327</v>
      </c>
      <c r="B9" s="57" t="s">
        <v>321</v>
      </c>
    </row>
    <row r="11" spans="1:8" ht="28.8" x14ac:dyDescent="0.3">
      <c r="A11" s="66" t="s">
        <v>322</v>
      </c>
      <c r="B11" s="64" t="s">
        <v>323</v>
      </c>
    </row>
    <row r="12" spans="1:8" x14ac:dyDescent="0.3">
      <c r="B12" s="56"/>
    </row>
    <row r="13" spans="1:8" ht="28.8" x14ac:dyDescent="0.3">
      <c r="A13" s="66" t="s">
        <v>324</v>
      </c>
      <c r="B13" s="57" t="s">
        <v>325</v>
      </c>
    </row>
    <row r="16" spans="1:8" x14ac:dyDescent="0.3">
      <c r="A16" s="44" t="s">
        <v>326</v>
      </c>
      <c r="B16" s="44"/>
      <c r="C16" s="44"/>
      <c r="D16" s="44"/>
      <c r="E16" s="44"/>
      <c r="F16" s="44"/>
      <c r="G16" s="44"/>
      <c r="H16" s="44"/>
    </row>
    <row r="18" spans="1:8" x14ac:dyDescent="0.3">
      <c r="A18" s="55" t="s">
        <v>328</v>
      </c>
      <c r="B18" s="54">
        <v>3</v>
      </c>
      <c r="C18" s="60" t="s">
        <v>329</v>
      </c>
      <c r="D18" s="54">
        <v>2</v>
      </c>
      <c r="E18" s="58" t="s">
        <v>330</v>
      </c>
      <c r="F18" s="54">
        <v>1</v>
      </c>
      <c r="G18" s="61" t="s">
        <v>331</v>
      </c>
      <c r="H18" s="54">
        <v>0</v>
      </c>
    </row>
    <row r="21" spans="1:8" ht="17.399999999999999" customHeight="1" x14ac:dyDescent="0.3">
      <c r="A21" s="44" t="s">
        <v>332</v>
      </c>
      <c r="B21" s="44"/>
      <c r="C21" s="44"/>
      <c r="D21" s="44"/>
      <c r="E21" s="44"/>
      <c r="F21" s="44"/>
      <c r="G21" s="44"/>
      <c r="H21" s="44"/>
    </row>
    <row r="22" spans="1:8" x14ac:dyDescent="0.3">
      <c r="A22" s="62" t="s">
        <v>333</v>
      </c>
      <c r="B22" s="62" t="s">
        <v>334</v>
      </c>
      <c r="C22" s="62" t="s">
        <v>287</v>
      </c>
      <c r="D22" s="62" t="s">
        <v>335</v>
      </c>
      <c r="E22" s="62" t="s">
        <v>288</v>
      </c>
      <c r="F22" s="62" t="s">
        <v>336</v>
      </c>
    </row>
    <row r="23" spans="1:8" x14ac:dyDescent="0.3">
      <c r="A23" s="54" t="s">
        <v>69</v>
      </c>
      <c r="B23" s="54">
        <v>12</v>
      </c>
      <c r="C23" s="60" t="s">
        <v>36</v>
      </c>
      <c r="D23" s="54">
        <v>8</v>
      </c>
      <c r="E23" s="58" t="s">
        <v>83</v>
      </c>
      <c r="F23" s="54">
        <v>4</v>
      </c>
    </row>
    <row r="24" spans="1:8" x14ac:dyDescent="0.3">
      <c r="A24" s="54" t="s">
        <v>84</v>
      </c>
      <c r="B24" s="54">
        <v>12</v>
      </c>
      <c r="C24" s="60" t="s">
        <v>36</v>
      </c>
      <c r="D24" s="54">
        <v>8</v>
      </c>
      <c r="E24" s="58" t="s">
        <v>34</v>
      </c>
      <c r="F24" s="54">
        <v>4</v>
      </c>
    </row>
    <row r="25" spans="1:8" x14ac:dyDescent="0.3">
      <c r="A25" s="54" t="s">
        <v>93</v>
      </c>
      <c r="B25" s="54">
        <v>6</v>
      </c>
      <c r="C25" s="58" t="s">
        <v>83</v>
      </c>
      <c r="D25" s="54">
        <v>3</v>
      </c>
      <c r="E25" s="59" t="s">
        <v>32</v>
      </c>
      <c r="F25" s="54">
        <v>3</v>
      </c>
    </row>
    <row r="57" spans="1:2" ht="28.8" customHeight="1" x14ac:dyDescent="0.3">
      <c r="A57" s="40" t="s">
        <v>337</v>
      </c>
      <c r="B57" s="40"/>
    </row>
    <row r="59" spans="1:2" x14ac:dyDescent="0.3">
      <c r="A59" s="67" t="s">
        <v>338</v>
      </c>
      <c r="B59" s="67" t="s">
        <v>341</v>
      </c>
    </row>
    <row r="60" spans="1:2" ht="147" customHeight="1" x14ac:dyDescent="0.3">
      <c r="A60" s="63" t="s">
        <v>340</v>
      </c>
      <c r="B60" s="63" t="s">
        <v>342</v>
      </c>
    </row>
    <row r="61" spans="1:2" x14ac:dyDescent="0.3">
      <c r="A61" s="52"/>
    </row>
    <row r="62" spans="1:2" x14ac:dyDescent="0.3">
      <c r="A62" s="52"/>
    </row>
    <row r="63" spans="1:2" x14ac:dyDescent="0.3">
      <c r="A63" s="52"/>
    </row>
    <row r="64" spans="1:2" x14ac:dyDescent="0.3">
      <c r="A64" s="52" t="s">
        <v>339</v>
      </c>
    </row>
    <row r="65" spans="1:1" x14ac:dyDescent="0.3">
      <c r="A65" s="52"/>
    </row>
    <row r="66" spans="1:1" x14ac:dyDescent="0.3">
      <c r="A66" s="52"/>
    </row>
  </sheetData>
  <mergeCells count="5">
    <mergeCell ref="A1:H1"/>
    <mergeCell ref="A3:H3"/>
    <mergeCell ref="A16:H16"/>
    <mergeCell ref="A21:H21"/>
    <mergeCell ref="A57:B57"/>
  </mergeCells>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F90E-8AFB-4FDE-964A-22D924B35629}">
  <dimension ref="A1:H22"/>
  <sheetViews>
    <sheetView tabSelected="1" topLeftCell="A15" workbookViewId="0">
      <selection activeCell="D22" sqref="D22"/>
    </sheetView>
  </sheetViews>
  <sheetFormatPr defaultRowHeight="14.4" x14ac:dyDescent="0.3"/>
  <cols>
    <col min="1" max="1" width="65.88671875" customWidth="1"/>
    <col min="2" max="2" width="36" customWidth="1"/>
    <col min="3" max="3" width="10.33203125" bestFit="1" customWidth="1"/>
    <col min="4" max="4" width="14.88671875" customWidth="1"/>
  </cols>
  <sheetData>
    <row r="1" spans="1:8" ht="100.8" customHeight="1" x14ac:dyDescent="0.3">
      <c r="A1" s="40" t="s">
        <v>343</v>
      </c>
      <c r="B1" s="40"/>
      <c r="C1" s="40"/>
      <c r="D1" s="40"/>
      <c r="E1" s="40"/>
      <c r="F1" s="40"/>
      <c r="G1" s="40"/>
      <c r="H1" s="40"/>
    </row>
    <row r="3" spans="1:8" x14ac:dyDescent="0.3">
      <c r="A3" s="68" t="s">
        <v>344</v>
      </c>
      <c r="B3" s="68"/>
    </row>
    <row r="4" spans="1:8" ht="28.8" x14ac:dyDescent="0.3">
      <c r="A4" s="53" t="s">
        <v>346</v>
      </c>
      <c r="B4" s="57" t="s">
        <v>345</v>
      </c>
    </row>
    <row r="5" spans="1:8" x14ac:dyDescent="0.3">
      <c r="A5" s="54" t="s">
        <v>318</v>
      </c>
      <c r="B5" s="57" t="s">
        <v>315</v>
      </c>
    </row>
    <row r="6" spans="1:8" x14ac:dyDescent="0.3">
      <c r="A6" s="54" t="s">
        <v>347</v>
      </c>
      <c r="B6" s="57" t="s">
        <v>321</v>
      </c>
    </row>
    <row r="7" spans="1:8" ht="28.8" x14ac:dyDescent="0.3">
      <c r="A7" s="53" t="s">
        <v>348</v>
      </c>
      <c r="B7" s="57" t="s">
        <v>349</v>
      </c>
    </row>
    <row r="8" spans="1:8" x14ac:dyDescent="0.3">
      <c r="A8" s="54" t="s">
        <v>350</v>
      </c>
      <c r="B8" s="57" t="s">
        <v>351</v>
      </c>
    </row>
    <row r="9" spans="1:8" x14ac:dyDescent="0.3">
      <c r="A9" s="54" t="s">
        <v>352</v>
      </c>
      <c r="B9" s="70">
        <v>46251</v>
      </c>
    </row>
    <row r="10" spans="1:8" x14ac:dyDescent="0.3">
      <c r="A10" s="54" t="s">
        <v>353</v>
      </c>
      <c r="B10" s="57" t="s">
        <v>354</v>
      </c>
    </row>
    <row r="11" spans="1:8" x14ac:dyDescent="0.3">
      <c r="A11" s="54" t="s">
        <v>355</v>
      </c>
      <c r="B11" s="57" t="s">
        <v>356</v>
      </c>
    </row>
    <row r="14" spans="1:8" x14ac:dyDescent="0.3">
      <c r="A14" s="67" t="s">
        <v>357</v>
      </c>
    </row>
    <row r="15" spans="1:8" ht="116.4" customHeight="1" x14ac:dyDescent="0.3">
      <c r="A15" s="47" t="s">
        <v>358</v>
      </c>
    </row>
    <row r="17" spans="1:4" x14ac:dyDescent="0.3">
      <c r="A17" s="68" t="s">
        <v>359</v>
      </c>
      <c r="B17" s="68"/>
      <c r="C17" s="68"/>
      <c r="D17" s="68"/>
    </row>
    <row r="18" spans="1:4" x14ac:dyDescent="0.3">
      <c r="A18" s="67" t="s">
        <v>360</v>
      </c>
      <c r="B18" s="67" t="s">
        <v>361</v>
      </c>
      <c r="C18" s="67" t="s">
        <v>362</v>
      </c>
      <c r="D18" s="67" t="s">
        <v>363</v>
      </c>
    </row>
    <row r="19" spans="1:4" x14ac:dyDescent="0.3">
      <c r="A19" s="54" t="s">
        <v>353</v>
      </c>
      <c r="B19" s="54" t="s">
        <v>354</v>
      </c>
      <c r="C19" s="69">
        <v>46251</v>
      </c>
      <c r="D19" s="57" t="s">
        <v>351</v>
      </c>
    </row>
    <row r="20" spans="1:4" x14ac:dyDescent="0.3">
      <c r="A20" s="54" t="s">
        <v>364</v>
      </c>
      <c r="D20" s="57" t="s">
        <v>365</v>
      </c>
    </row>
    <row r="21" spans="1:4" ht="28.8" x14ac:dyDescent="0.3">
      <c r="A21" s="53" t="s">
        <v>366</v>
      </c>
      <c r="D21" s="57" t="s">
        <v>367</v>
      </c>
    </row>
    <row r="22" spans="1:4" x14ac:dyDescent="0.3">
      <c r="A22" s="54" t="s">
        <v>368</v>
      </c>
      <c r="D22" s="57" t="s">
        <v>369</v>
      </c>
    </row>
  </sheetData>
  <mergeCells count="3">
    <mergeCell ref="A1:H1"/>
    <mergeCell ref="A3:B3"/>
    <mergeCell ref="A17:D1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01_Risk_Criteria</vt:lpstr>
      <vt:lpstr>02_Risk_Register </vt:lpstr>
      <vt:lpstr>03_Asset_Register</vt:lpstr>
      <vt:lpstr>04_Control_Register</vt:lpstr>
      <vt:lpstr>05_Evidence_Register</vt:lpstr>
      <vt:lpstr>06_Treatment_Plan</vt:lpstr>
      <vt:lpstr>07_Executive_Summary</vt:lpstr>
      <vt:lpstr>08_Assessment_Signoff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Marin</dc:creator>
  <cp:lastModifiedBy>Enzo Marin</cp:lastModifiedBy>
  <dcterms:created xsi:type="dcterms:W3CDTF">2026-08-13T21:19:17Z</dcterms:created>
  <dcterms:modified xsi:type="dcterms:W3CDTF">2026-08-17T19:48:41Z</dcterms:modified>
</cp:coreProperties>
</file>